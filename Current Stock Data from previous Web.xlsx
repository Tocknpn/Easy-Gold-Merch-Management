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S_SKU_MasterData" sheetId="2" r:id="rId6"/>
    <sheet state="visible" name="CS_Transactions" sheetId="3" r:id="rId7"/>
    <sheet state="visible" name="System_Logs" sheetId="4" r:id="rId8"/>
    <sheet state="visible" name="SKU_Remarks" sheetId="5" r:id="rId9"/>
    <sheet state="visible" name="System_Config" sheetId="6" r:id="rId10"/>
    <sheet state="visible" name="Categories" sheetId="7" r:id="rId11"/>
    <sheet state="visible" name="SKU_MasterData" sheetId="8" r:id="rId12"/>
    <sheet state="visible" name="Tickets" sheetId="9" r:id="rId13"/>
    <sheet state="visible" name="TicketItems" sheetId="10" r:id="rId14"/>
    <sheet state="visible" name="StockTransactions" sheetId="11" r:id="rId15"/>
    <sheet state="visible" name="TicketActions" sheetId="12" r:id="rId16"/>
    <sheet state="hidden" name="Audit Tab" sheetId="13" r:id="rId17"/>
  </sheets>
  <definedNames>
    <definedName hidden="1" localSheetId="10" name="_xlnm._FilterDatabase">StockTransactions!$A$1:$L$112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5">
      <text>
        <t xml:space="preserve">ແບ່ງອອກຊັບພອດງານ ເກັບຂິ້ເຫຍື້ອ 7, ເອົາໃຫ້ຫົວຫນ້າ 3 (ເຈເຈ ເປັນຄົນເອົາໃຫ້ຫົວຫນ້າ)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tc={3eac7d59-4056-4a44-b9c4-6f32ec2a0b86}</author>
    <author>tc={48735146-ba09-4af2-9072-fedf97a8d65c}</author>
    <author>tc={e11ed814-4250-46f6-b2f5-e6406e5383db}</author>
  </authors>
  <commentList>
    <comment authorId="0" xr:uid="{3eac7d59-4056-4a44-b9c4-6f32ec2a0b86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24/3
</t>
      </text>
    </comment>
    <comment authorId="1" xr:uid="{48735146-ba09-4af2-9072-fedf97a8d65c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18/3
Reply:
	10/6
</t>
      </text>
    </comment>
    <comment authorId="2" xr:uid="{e11ed814-4250-46f6-b2f5-e6406e5383db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10/4 50 pcs
27/4 50 pcs
</t>
      </text>
    </comment>
  </commentList>
</comments>
</file>

<file path=xl/sharedStrings.xml><?xml version="1.0" encoding="utf-8"?>
<sst xmlns="http://schemas.openxmlformats.org/spreadsheetml/2006/main" count="7452" uniqueCount="1397">
  <si>
    <t>User_ID</t>
  </si>
  <si>
    <t>SKU_ID</t>
  </si>
  <si>
    <t>Timestamp</t>
  </si>
  <si>
    <t>ID</t>
  </si>
  <si>
    <t>Email</t>
  </si>
  <si>
    <t>Password</t>
  </si>
  <si>
    <t>Log</t>
  </si>
  <si>
    <t>Role</t>
  </si>
  <si>
    <t>Name</t>
  </si>
  <si>
    <t>Ticket_ID</t>
  </si>
  <si>
    <t>Full_Name</t>
  </si>
  <si>
    <t>Category</t>
  </si>
  <si>
    <t>Department</t>
  </si>
  <si>
    <t>SKU_Name</t>
  </si>
  <si>
    <t>Status</t>
  </si>
  <si>
    <t>Unit</t>
  </si>
  <si>
    <t>Qty</t>
  </si>
  <si>
    <t>USR012</t>
  </si>
  <si>
    <t>Opening_Balance</t>
  </si>
  <si>
    <t>Type</t>
  </si>
  <si>
    <t>phonethida.easygold@gmail.com</t>
  </si>
  <si>
    <t>Current_Stock</t>
  </si>
  <si>
    <t>Date</t>
  </si>
  <si>
    <t>Total_Inflow</t>
  </si>
  <si>
    <t>Action_At</t>
  </si>
  <si>
    <t>Low_Stock_Threshold</t>
  </si>
  <si>
    <t>Cost_Per_Unit</t>
  </si>
  <si>
    <t>Action_By</t>
  </si>
  <si>
    <t>Comment</t>
  </si>
  <si>
    <t>Image</t>
  </si>
  <si>
    <t>CreatedAt</t>
  </si>
  <si>
    <t>OPENING</t>
  </si>
  <si>
    <t>Starting email notification for: TKT-1773830956566</t>
  </si>
  <si>
    <t>sku-1771407897767</t>
  </si>
  <si>
    <t>ກະເປົາເດີນທາງ</t>
  </si>
  <si>
    <t>easygold1234</t>
  </si>
  <si>
    <t>Staff</t>
  </si>
  <si>
    <t>Recipients resolved: Somparthana.bpv@gmail.com,sout2017@gmail.com</t>
  </si>
  <si>
    <t>Merch</t>
  </si>
  <si>
    <t>pcs</t>
  </si>
  <si>
    <t>Phonethida Mangala</t>
  </si>
  <si>
    <t>addition</t>
  </si>
  <si>
    <t>Fatal Email Error: Exception: ທ່ານບໍ່ໄດ້ຮັບອະນຸຍາດໃຫ້ເອີ້ນໃຊ້ MailApp.sendEmail. ຕ້ອງມີການອະນຸຍາດ: https://www.googleapis.com/auth/script.send_mail. ສຳລັບຂໍ້ມູນເພີ່ມເຕີມ, ກະລຸນາເບິ່ງ https://developers.google.com/apps-script/guides/support/troubleshooting#authorization-is</t>
  </si>
  <si>
    <t>MKT</t>
  </si>
  <si>
    <t>Active</t>
  </si>
  <si>
    <t>USR013</t>
  </si>
  <si>
    <t>lvesaphong96@gmail.com</t>
  </si>
  <si>
    <t>Starting email notification for: TKT-1773831366323</t>
  </si>
  <si>
    <t>https://drive.google.com/uc?id=1jqbe2VQorLQKzhEa70kLjQAK8IUk7SRM</t>
  </si>
  <si>
    <t>2026-07-13T03:46:26.360Z</t>
  </si>
  <si>
    <t>Customer Service</t>
  </si>
  <si>
    <t>Souphavanh Vetsaphong</t>
  </si>
  <si>
    <t>Opening balance on SKU creation</t>
  </si>
  <si>
    <t>Email successfully sent to Somparthana.bpv@gmail.com,sout2017@gmail.com</t>
  </si>
  <si>
    <t>USR014</t>
  </si>
  <si>
    <t>thavatxay94@gmail.com</t>
  </si>
  <si>
    <t>sku-1771406960024</t>
  </si>
  <si>
    <t>Thavutxai Inthavongsa</t>
  </si>
  <si>
    <t>ບິກອີຊີໂກລ</t>
  </si>
  <si>
    <t>USR015</t>
  </si>
  <si>
    <t>Somparthana.bpv@gmail.com</t>
  </si>
  <si>
    <t>Warehouse</t>
  </si>
  <si>
    <t>Sompartthana Bouphavong</t>
  </si>
  <si>
    <t>BTL</t>
  </si>
  <si>
    <t>2026-07-13T03:46:30.776Z</t>
  </si>
  <si>
    <t>Recipients resolved: Jonathan.easygold@gmail.com</t>
  </si>
  <si>
    <t>USR016</t>
  </si>
  <si>
    <t>sout2017@gmail.com</t>
  </si>
  <si>
    <t>Email successfully sent to Jonathan.easygold@gmail.com</t>
  </si>
  <si>
    <t>Soudsada Keovongphet</t>
  </si>
  <si>
    <t>sku-1781681021177</t>
  </si>
  <si>
    <t>USR017</t>
  </si>
  <si>
    <t>ຫມວກ 2026</t>
  </si>
  <si>
    <t>tockppd@gmail.com</t>
  </si>
  <si>
    <t>Admin</t>
  </si>
  <si>
    <t>Nopphanai Phomphakdee</t>
  </si>
  <si>
    <t>2026-07-13T03:46:33.457Z</t>
  </si>
  <si>
    <t>USR018</t>
  </si>
  <si>
    <t>Recipients resolved: souk07025@gmail.com</t>
  </si>
  <si>
    <t>Jonathan.easygold@gmail.com</t>
  </si>
  <si>
    <t>Email successfully sent to souk07025@gmail.com</t>
  </si>
  <si>
    <t>sku-1771407316677</t>
  </si>
  <si>
    <t>Jonathaan Meadley</t>
  </si>
  <si>
    <t>ຄັນຮົ່ມ 2026</t>
  </si>
  <si>
    <t>Starting email notification for: TKT-1773830504590</t>
  </si>
  <si>
    <t>USR019</t>
  </si>
  <si>
    <t>2026-07-13T03:46:35.934Z</t>
  </si>
  <si>
    <t>sphengxay@gmail.com</t>
  </si>
  <si>
    <t>Director</t>
  </si>
  <si>
    <t>Souliphonh Phengxay</t>
  </si>
  <si>
    <t>USR020</t>
  </si>
  <si>
    <t>souphanithvst@gmail.com</t>
  </si>
  <si>
    <t>sku-1780972510074</t>
  </si>
  <si>
    <t>Souphanit Vongsengthong</t>
  </si>
  <si>
    <t>ຈອກເກັບອຸນຫະພູມ 2026</t>
  </si>
  <si>
    <t>USR022</t>
  </si>
  <si>
    <t>souk07025@gmail.com</t>
  </si>
  <si>
    <t>Souk</t>
  </si>
  <si>
    <t>2026-07-13T03:46:40.339Z</t>
  </si>
  <si>
    <t>USR023</t>
  </si>
  <si>
    <t>cs@easygold.com</t>
  </si>
  <si>
    <t>CS</t>
  </si>
  <si>
    <t>Starting email notification for: TKT-1774339252579</t>
  </si>
  <si>
    <t>u-1777371387680</t>
  </si>
  <si>
    <t>souphavanh.vesaphong@gmail.com</t>
  </si>
  <si>
    <t>staff</t>
  </si>
  <si>
    <t>CS-SKU-1784195239942</t>
  </si>
  <si>
    <t>Linda</t>
  </si>
  <si>
    <t xml:space="preserve">ກ່ອງຄໍາ 2ບາດ </t>
  </si>
  <si>
    <t>USR024</t>
  </si>
  <si>
    <t>alounys08@gmail.com</t>
  </si>
  <si>
    <t>2026-07-16T09:47:20.522Z</t>
  </si>
  <si>
    <t>Babie</t>
  </si>
  <si>
    <t>Line Manager</t>
  </si>
  <si>
    <t>https://drive.google.com/uc?id=1mGYB0oPqQFo3koTzQe1sBB2ytghlNPVQ</t>
  </si>
  <si>
    <t>Alouny</t>
  </si>
  <si>
    <t>CS-SKU-1784195433787</t>
  </si>
  <si>
    <t xml:space="preserve">ກ່ອງຄໍາ 2ສະຫລຶງ </t>
  </si>
  <si>
    <t>USR025</t>
  </si>
  <si>
    <t>bm.keomath@gmail.com</t>
  </si>
  <si>
    <t>finance</t>
  </si>
  <si>
    <t>Bounmy</t>
  </si>
  <si>
    <t>2026-07-16T09:50:34.239Z</t>
  </si>
  <si>
    <t>Finance</t>
  </si>
  <si>
    <t>USR026</t>
  </si>
  <si>
    <t>annasorsukun@gmail.com</t>
  </si>
  <si>
    <t>easygold9999</t>
  </si>
  <si>
    <t>HR</t>
  </si>
  <si>
    <t>Anna</t>
  </si>
  <si>
    <t>CS-SKU-1784195489874</t>
  </si>
  <si>
    <t>USR027</t>
  </si>
  <si>
    <t>malisa.pam1999@gmail.com</t>
  </si>
  <si>
    <t>Starting email notification for: TKT-1771577788359</t>
  </si>
  <si>
    <t>PA</t>
  </si>
  <si>
    <t>Nuni</t>
  </si>
  <si>
    <t>2026-07-16T09:51:30.765Z</t>
  </si>
  <si>
    <t>Recipients resolved: phonethida.easygold@gmail.com</t>
  </si>
  <si>
    <t>u-1783691100280</t>
  </si>
  <si>
    <t>soulinta2001@gmail.com</t>
  </si>
  <si>
    <t>customer_service</t>
  </si>
  <si>
    <t>Soulinta</t>
  </si>
  <si>
    <t>Email successfully sent to phonethida.easygold@gmail.com</t>
  </si>
  <si>
    <t>CS-SKU-1784195540861</t>
  </si>
  <si>
    <t>u-1783691100281</t>
  </si>
  <si>
    <t xml:space="preserve">ກ່ອງຄໍາ 10ບາດ </t>
  </si>
  <si>
    <t>Saiyfonphommathed@gmail.com</t>
  </si>
  <si>
    <t>Starting email notification for: TKT-1772507237246</t>
  </si>
  <si>
    <t>Saiyfon</t>
  </si>
  <si>
    <t>2026-07-16T09:52:21.691Z</t>
  </si>
  <si>
    <t>u-1783691100282</t>
  </si>
  <si>
    <t>Baybiethammavong@gmail.com</t>
  </si>
  <si>
    <t>Recipients resolved: thavatxay94@gmail.com</t>
  </si>
  <si>
    <t>CS-SKU-1784195543750</t>
  </si>
  <si>
    <t>Email successfully sent to thavatxay94@gmail.com</t>
  </si>
  <si>
    <t>Starting email notification for: TKT-1772592110294</t>
  </si>
  <si>
    <t>2026-07-16T09:52:24.456Z</t>
  </si>
  <si>
    <t>ນ່ວຍ</t>
  </si>
  <si>
    <t>CS-SKU-1784195595962</t>
  </si>
  <si>
    <t>ກ່ອງຄໍາ5ບາດ</t>
  </si>
  <si>
    <t>Starting email notification for: TKT-1773299387291</t>
  </si>
  <si>
    <t>2026-07-16T09:53:16.939Z</t>
  </si>
  <si>
    <t>https://drive.google.com/uc?id=164-A6eQqvFJ8STTJlC3td3iRSKbspTKA</t>
  </si>
  <si>
    <t>Recipients resolved: somparthana.bpv@gmail.com</t>
  </si>
  <si>
    <t>sku-1779434977945</t>
  </si>
  <si>
    <t>Paper Bag</t>
  </si>
  <si>
    <t>Email successfully sent to somparthana.bpv@gmail.com</t>
  </si>
  <si>
    <t>2026-07-21T09:30:12.439Z</t>
  </si>
  <si>
    <t>MKT Warehouse</t>
  </si>
  <si>
    <t>Starting email notification for: TKT-1773652078809</t>
  </si>
  <si>
    <t>Auto-transferred from MKT WH - Ticket: TKT-1784194879118</t>
  </si>
  <si>
    <t>DIRECT_DESTOCK</t>
  </si>
  <si>
    <t>deduction</t>
  </si>
  <si>
    <t>2026-07-27T06:28:00.558Z</t>
  </si>
  <si>
    <t>Starting email notification for: TKT-1773722800507</t>
  </si>
  <si>
    <t>ຂາຍໄຫ້ລູກຄ້າ</t>
  </si>
  <si>
    <t>ກ່ອງຄໍາ 10ບາດ</t>
  </si>
  <si>
    <t>2026-07-27T06:28:04.921Z</t>
  </si>
  <si>
    <t>Starting email notification for: TKT-1773723473614</t>
  </si>
  <si>
    <t>2026-08-10T08:18:37.910Z</t>
  </si>
  <si>
    <t>https://drive.google.com/uc?id=1ObA0rIgPSEiZtrqAul49v0r0EAaFv26e</t>
  </si>
  <si>
    <t>ລຸກຄ້າແລກອີຊີພ້ອຍ</t>
  </si>
  <si>
    <t>Recipients resolved: sphengxay@gmail.com</t>
  </si>
  <si>
    <t>2026-08-10T08:18:43.351Z</t>
  </si>
  <si>
    <t>Email successfully sent to sphengxay@gmail.com</t>
  </si>
  <si>
    <t>Starting email notification for: TKT-1774431236031</t>
  </si>
  <si>
    <t>2026-08-10T08:18:47.886Z</t>
  </si>
  <si>
    <t>sku-1785121215788</t>
  </si>
  <si>
    <t>Paper Bag for GOLD</t>
  </si>
  <si>
    <t>2026-08-11T08:24:20.652Z</t>
  </si>
  <si>
    <t>Auto-transferred from MKT WH - Ticket: TKT-1786012380968</t>
  </si>
  <si>
    <t>ຫນ່ວຍ</t>
  </si>
  <si>
    <t>https://drive.google.com/uc?id=13U9QXzaW56b7drekeOZN2RrOiarFaTft</t>
  </si>
  <si>
    <t>Starting email notification for: TKT-1774519787325</t>
  </si>
  <si>
    <t>2026-08-25T02:59:52.335Z</t>
  </si>
  <si>
    <t>ແຖມລູກຄ້າ</t>
  </si>
  <si>
    <t>Starting email notification for: TKT-1774519858761</t>
  </si>
  <si>
    <t>2026-08-31T08:21:49.677Z</t>
  </si>
  <si>
    <t>[MKT_TRANSFER] Return item today to MKT warehouse</t>
  </si>
  <si>
    <t>ກ່ອງ</t>
  </si>
  <si>
    <t>Starting email notification for: TKT-1774522243451</t>
  </si>
  <si>
    <t>Booth</t>
  </si>
  <si>
    <t>ອັນ</t>
  </si>
  <si>
    <t>Recipients resolved: cs@easygold.com</t>
  </si>
  <si>
    <t>https://drive.google.com/uc?id=1OKF2e1Rt7mP_J0eiuRSkTtDnZVTURAyO</t>
  </si>
  <si>
    <t>Email successfully sent to cs@easygold.com</t>
  </si>
  <si>
    <t>https://drive.google.com/uc?id=1LB2DirspdcFj0fHC3XZOU64VHvO3gJ6M</t>
  </si>
  <si>
    <t>Starting email notification for: TKT-1775030802941</t>
  </si>
  <si>
    <t>Starting email notification for: TKT-1775031095824</t>
  </si>
  <si>
    <t>Starting email notification for: TKT-1775035236032</t>
  </si>
  <si>
    <t>Remark</t>
  </si>
  <si>
    <t>Created_By</t>
  </si>
  <si>
    <t>User_Role</t>
  </si>
  <si>
    <t>sku-1771407148002</t>
  </si>
  <si>
    <t>Create 1 request for rebalance the stock</t>
  </si>
  <si>
    <t>Sompartthana</t>
  </si>
  <si>
    <t>warehouse</t>
  </si>
  <si>
    <t>2026-02-19T06:35:04.867Z</t>
  </si>
  <si>
    <t>sku-1771407936514</t>
  </si>
  <si>
    <t>Test 5</t>
  </si>
  <si>
    <t>2026-02-20T08:43:56.379Z</t>
  </si>
  <si>
    <t>Starting email notification for: TKT-1775036208996</t>
  </si>
  <si>
    <t>Recipients resolved: sout2017@gmail.com</t>
  </si>
  <si>
    <t>Email successfully sent to sout2017@gmail.com</t>
  </si>
  <si>
    <t>Starting email notification for: TKT-1775100401216</t>
  </si>
  <si>
    <t>Starting email notification for: TKT-1775528099100</t>
  </si>
  <si>
    <t>Starting email notification for: TKT-1775633130238</t>
  </si>
  <si>
    <t>Starting email notification for: TKT-1776670121981</t>
  </si>
  <si>
    <t>Starting email notification for: TKT-1776671610636</t>
  </si>
  <si>
    <t>Starting email notification for: TKT-1776671656947</t>
  </si>
  <si>
    <t>Starting email notification for: TKT-1776756480752</t>
  </si>
  <si>
    <t>Key</t>
  </si>
  <si>
    <t>Value</t>
  </si>
  <si>
    <t>Description</t>
  </si>
  <si>
    <t>bypass_threshold</t>
  </si>
  <si>
    <t>bypass_level</t>
  </si>
  <si>
    <t>none</t>
  </si>
  <si>
    <t>Starting email notification for: TKT-1776829073779</t>
  </si>
  <si>
    <t>Starting email notification for: TKT-1776927415197</t>
  </si>
  <si>
    <t>Starting email notification for: TKT-1776927769965</t>
  </si>
  <si>
    <t>Starting email notification for: TKT-1776999501965</t>
  </si>
  <si>
    <t>Starting email notification for: TKT-1777276449750</t>
  </si>
  <si>
    <t>Starting email notification for: TKT-1777348190787</t>
  </si>
  <si>
    <t>Current_stock</t>
  </si>
  <si>
    <t>createdAt</t>
  </si>
  <si>
    <t>Starting email notification for: TKT-1777355053398</t>
  </si>
  <si>
    <t>ticket_id</t>
  </si>
  <si>
    <t>status</t>
  </si>
  <si>
    <t>Created_By_Name</t>
  </si>
  <si>
    <t>Delivery_Date</t>
  </si>
  <si>
    <t>Created_At</t>
  </si>
  <si>
    <t>wh_comment</t>
  </si>
  <si>
    <t>lm_comment</t>
  </si>
  <si>
    <t>Director_Comment</t>
  </si>
  <si>
    <t>Actual Delivery Date</t>
  </si>
  <si>
    <t>Last_Action_At</t>
  </si>
  <si>
    <t>Last_Action_By</t>
  </si>
  <si>
    <t>Last_Action_Status</t>
  </si>
  <si>
    <t>Last_Action_Comment</t>
  </si>
  <si>
    <t>Actual_Delivery_Date</t>
  </si>
  <si>
    <t>Return_Date</t>
  </si>
  <si>
    <t>TKT-1771577788359</t>
  </si>
  <si>
    <t>finalized</t>
  </si>
  <si>
    <t>sku-1771407004896</t>
  </si>
  <si>
    <t>ພວງກະເເຈ</t>
  </si>
  <si>
    <t>https://drive.google.com/uc?id=1qpRx9mvqdJ1XJNAI5A1Yum-S1kehd3JT</t>
  </si>
  <si>
    <t>Starting email notification for: TKT-1777452309806</t>
  </si>
  <si>
    <t>sku-1771407061986</t>
  </si>
  <si>
    <t>ຈອກກາເເຟ</t>
  </si>
  <si>
    <t>https://drive.google.com/uc?id=1AZ98F3nSd5kaWCpxmVUpcCCqiN98wEJw</t>
  </si>
  <si>
    <t>sku_id</t>
  </si>
  <si>
    <t>qty_requested</t>
  </si>
  <si>
    <t>Qty_Approved</t>
  </si>
  <si>
    <t>sku-1771407101349</t>
  </si>
  <si>
    <t>ຈອກເກັບຄວາມເຢັນ</t>
  </si>
  <si>
    <t>https://drive.google.com/uc?id=1hkA1erHwgR0y9yNCPITVTAuQCOTRyx9S</t>
  </si>
  <si>
    <t>For Lunar New Year Campaign (10-17 Feb 2026)</t>
  </si>
  <si>
    <t>2026-02-20T08:56:27.312Z</t>
  </si>
  <si>
    <t xml:space="preserve">Bam &amp; J, ໄປເອົາຢູ່ສາງເອງ </t>
  </si>
  <si>
    <t>2026-03-24T08:05:19.378Z</t>
  </si>
  <si>
    <t>Starting email notification for: TKT-1778045180113</t>
  </si>
  <si>
    <t>Approved</t>
  </si>
  <si>
    <t>request</t>
  </si>
  <si>
    <t>TKT-1772507237246</t>
  </si>
  <si>
    <t>Recipients resolved: alounys08@gmail.com</t>
  </si>
  <si>
    <t>Email successfully sent to alounys08@gmail.com</t>
  </si>
  <si>
    <t>ກະເປົາຜ້າ</t>
  </si>
  <si>
    <t>https://drive.google.com/uc?id=1tuoXVXQvPsrEsQKVCgcgMSjemrSfN0qU</t>
  </si>
  <si>
    <t>for Kaopoon's shooting as a prop and easter eggs</t>
  </si>
  <si>
    <t>2026-03-03T03:07:14.742Z</t>
  </si>
  <si>
    <t>2026-03-24T08:05:34.964Z</t>
  </si>
  <si>
    <t>TKT-1772592110294</t>
  </si>
  <si>
    <t>sku-1771407810939</t>
  </si>
  <si>
    <t>ກະປຸກອອມສິນ</t>
  </si>
  <si>
    <t>ເບີກໄປໃຊ້ຊັ້ນ 1</t>
  </si>
  <si>
    <t>2026-03-04T02:41:49.328Z</t>
  </si>
  <si>
    <t>ເບິກໂຕຈິ່ງແມ່ນ 20 ຊຸດ</t>
  </si>
  <si>
    <t>2026-03-24T08:05:52.128Z</t>
  </si>
  <si>
    <t>TKT-1773299387291</t>
  </si>
  <si>
    <t>somparthana.bpv@gmail.com</t>
  </si>
  <si>
    <t>https://drive.google.com/uc?id=1zYF1oMDsGQ3SddvFHwy7669xUcjiamsj</t>
  </si>
  <si>
    <t>ໃຫ້ທີມອາເຈັນຊີ້ ອອກບູສ ທີ່ງານ ຫນັງສື ຢູ່ ມ.ຊ</t>
  </si>
  <si>
    <t>2026-03-12T07:09:46.109Z</t>
  </si>
  <si>
    <t>2026-03-24T08:06:06.664Z</t>
  </si>
  <si>
    <t>TKT-1773652078809</t>
  </si>
  <si>
    <t>sku-1771407856341</t>
  </si>
  <si>
    <t>ຫມວກ</t>
  </si>
  <si>
    <t>https://drive.google.com/uc?id=1nWLOttjR5tBJbmtTx7xcsifZkj6NBZbu</t>
  </si>
  <si>
    <t>For Bluebox campaign</t>
  </si>
  <si>
    <t>2026-03-16T09:07:56.326Z</t>
  </si>
  <si>
    <t>2026-03-24T08:06:21.012Z</t>
  </si>
  <si>
    <t>TKT-1773722800507</t>
  </si>
  <si>
    <t>ເບິກໄປຊັບພອດງານສະປອນເຊີ Pha-Jay</t>
  </si>
  <si>
    <t>2026-03-17T04:46:39.165Z</t>
  </si>
  <si>
    <t>2026-03-24T08:06:33.410Z</t>
  </si>
  <si>
    <t>TKT-1773723473614</t>
  </si>
  <si>
    <t>ຄັນຮົ່ມກ໊ອບ</t>
  </si>
  <si>
    <t>https://drive.google.com/uc?id=1iWhKjJRgOH7D1KyVmgx82NI1UeCB23Jk</t>
  </si>
  <si>
    <t>Support Corporate (partnership)</t>
  </si>
  <si>
    <t>2026-03-17T04:57:52.031Z</t>
  </si>
  <si>
    <t>2026-03-24T08:07:06.618Z</t>
  </si>
  <si>
    <t>TKT-1774339252579</t>
  </si>
  <si>
    <t>sku-1771407974256</t>
  </si>
  <si>
    <t>ຊຸດຈອກກາເຟ</t>
  </si>
  <si>
    <t>set</t>
  </si>
  <si>
    <t>https://drive.google.com/uc?id=1BMRMe8whaL7XGIF_DnQPbYYIA_rozwqL</t>
  </si>
  <si>
    <t>sku-1773299233699</t>
  </si>
  <si>
    <t>A4 Brochure</t>
  </si>
  <si>
    <t>Agency support Picky Bank 40</t>
  </si>
  <si>
    <t>2026-03-24T08:00:51.245Z</t>
  </si>
  <si>
    <t>2026-03-26T01:35:17.102Z</t>
  </si>
  <si>
    <t>TKT-1774431236031</t>
  </si>
  <si>
    <t>sku-1771408020353</t>
  </si>
  <si>
    <t>ຊຸດພິນ້ຽມ (ປື້ມ+ຕຸກນ້ຳ+ບິກ)</t>
  </si>
  <si>
    <t>https://drive.google.com/uc?id=1yFnX4ALjzaH-hxAqslLLwl6y8PAC_1hN</t>
  </si>
  <si>
    <t>ເບີກເຄື່ອງໄວ້ສາງຊັ້ນ6</t>
  </si>
  <si>
    <t>2026-03-25T09:33:54.102Z</t>
  </si>
  <si>
    <t>ນ້ອງໆ CX ເບິກມາໄວ້ຊັ້ນ 6 ເພື່ອມອບໃຫ້ລູກຄ້າທີ່ເຂົ້າມາແລກຄະແນນ</t>
  </si>
  <si>
    <t>2026-03-27T01:36:19.060Z</t>
  </si>
  <si>
    <t>TKT-1774519787325</t>
  </si>
  <si>
    <t>sku-1772007048630</t>
  </si>
  <si>
    <t>ໂຕະຂາວ (ແບບພັບ) W180 x H75 x L60cm</t>
  </si>
  <si>
    <t>https://drive.google.com/uc?id=1JA3jDowJbg5HiXKUurIrtPa7hQGnGDe3</t>
  </si>
  <si>
    <t>ເບີກໄວ້ມອບໃຫ້ຫົວໜ້າກົມເຕັກໂນໂລຊີ ແລະ ໄວໃຫ້ແຂກຫົວໜ້າ</t>
  </si>
  <si>
    <t>2026-03-26T10:09:45.687Z</t>
  </si>
  <si>
    <t xml:space="preserve">ເນື່ອງຈາກ ສຸກຕ້ອງການດ່ວນ (ມື້ຊັບມິດເລີຍ) ກໍ່ເລີຍໃຫ້ສຸກເບິກຢືມນຳທີມ ບໍລິການລູກຄ້າກ່ອນ, ແລ້ວປູນາຈະເບິກມາແທນຄືນໃຫ້ </t>
  </si>
  <si>
    <t>2026-03-27T01:36:35.542Z</t>
  </si>
  <si>
    <t>TKT-1774519858761</t>
  </si>
  <si>
    <t>sku-1772007441977</t>
  </si>
  <si>
    <t xml:space="preserve">ຕັ່ງພັບ ສີຟ້າ </t>
  </si>
  <si>
    <t>https://drive.google.com/uc?id=1H6EVkRSnmbqyM8KqpItX-vFRc7irv95Y</t>
  </si>
  <si>
    <t>ໃຊ້ເປັນໂຕະກາເຟຊັ້ນ 01 ເພື່ອຮັບຮອງລູກຄ້າ</t>
  </si>
  <si>
    <t>2026-03-26T10:10:55.935Z</t>
  </si>
  <si>
    <t>2026-03-27T07:00:08.601Z</t>
  </si>
  <si>
    <t>sku-1772168083653</t>
  </si>
  <si>
    <t>A4 Acrylic Sign Holder</t>
  </si>
  <si>
    <t>TKT-1775030802941</t>
  </si>
  <si>
    <t>https://drive.google.com/uc?id=1r-Zr9Edb8KyiiaQGiCyKMeLcjDhIy-FZ</t>
  </si>
  <si>
    <t>Free gifts and giveaways for customers at booth events.
ເເຈກລູກຄ້າເປີດບັນຊີ ເເລະ ຊື້ຄຳຫນ້າບູດ</t>
  </si>
  <si>
    <t>2026-04-01T08:06:38.832Z</t>
  </si>
  <si>
    <t>KPV Activation - Q2</t>
  </si>
  <si>
    <t>sku-1772179915959</t>
  </si>
  <si>
    <t>2026-04-01T10:48:36.679Z</t>
  </si>
  <si>
    <t>ແບັກດອບແບບຜ້າ  230 WxH 200 cm</t>
  </si>
  <si>
    <t>https://drive.google.com/uc?id=1jrBkVokkLjt9eii6OhsjnU1mTsBSKVlZ</t>
  </si>
  <si>
    <t>TKT-1775031095824</t>
  </si>
  <si>
    <t>Free gifts and giveaways for customers at booth events.
ເເຈກລູກຄ້າເປີດບັນຊີໃຫມ່ ເເລະ ຊື້ຄຳຫນ້າບູດ</t>
  </si>
  <si>
    <t>2026-04-01T08:11:29.309Z</t>
  </si>
  <si>
    <t>sku-1772183466273</t>
  </si>
  <si>
    <t>2026-04-01T10:48:57.282Z</t>
  </si>
  <si>
    <t>ໂຕະເຄົາເຕີ Fabric Counter  ຂະຫນາດ: W 75x H 150 Cm</t>
  </si>
  <si>
    <t>https://drive.google.com/uc?id=1mXXihwsoRwCRyM9ziyKJ10x6lIkLE5ZC</t>
  </si>
  <si>
    <t>TKT-1775100401216</t>
  </si>
  <si>
    <t>resubmit</t>
  </si>
  <si>
    <t>2026-04-02T03:26:37.832Z</t>
  </si>
  <si>
    <t>ສຳລັບ ໄຕມາດ2</t>
  </si>
  <si>
    <t>2026-04-07T03:28:48.803Z</t>
  </si>
  <si>
    <t>sku-1772183613706</t>
  </si>
  <si>
    <t xml:space="preserve">Beach flag 310x240x60 Cm </t>
  </si>
  <si>
    <t>https://drive.google.com/uc?id=1PYa4rPfMVPMkt-V6AorH8ZFccqcbDfPf</t>
  </si>
  <si>
    <t>TKT-1775528099100</t>
  </si>
  <si>
    <t>For Q1 Booth activation by agency</t>
  </si>
  <si>
    <t>2026-04-07T02:14:57.135Z</t>
  </si>
  <si>
    <t>2026-04-20T09:52:15.946Z</t>
  </si>
  <si>
    <t>sku-1772183974356</t>
  </si>
  <si>
    <t>TV  52 ນິ້ວ</t>
  </si>
  <si>
    <t>https://drive.google.com/uc?id=1LeUkceG5HJa8ynzswjzv4qUS9AyypgmF</t>
  </si>
  <si>
    <t>TKT-1775633130238</t>
  </si>
  <si>
    <t>Starting email notification for: TKT-1778230741215</t>
  </si>
  <si>
    <t>Starting email notification for: TKT-1778467898610</t>
  </si>
  <si>
    <t>https://drive.google.com/uc?id=1t2TaS9ce-8ua9gGAQk8HgWW3RFHazaiW</t>
  </si>
  <si>
    <t>ເບີກເຄື່ອງໄວ້ສາງຊັ້ນ 6</t>
  </si>
  <si>
    <t>Starting email notification for: TKT-1778469681143</t>
  </si>
  <si>
    <t>2026-04-08T07:25:25.225Z</t>
  </si>
  <si>
    <t>ໄດ້ເອົາເຄື່ອງຕົວຈິ່ງທີ່ມີທັງຫມົດ 70ກ້ານໃຫ້ເເລີຍ</t>
  </si>
  <si>
    <t>2026-04-20T09:52:32.696Z</t>
  </si>
  <si>
    <t>sku-1775030698487</t>
  </si>
  <si>
    <t>ສາຍຫ້ອຍຄໍ (ພວງກະແຈ)</t>
  </si>
  <si>
    <t>TKT-1776670121981</t>
  </si>
  <si>
    <t>sku-1773828255894</t>
  </si>
  <si>
    <t>JBL Speaker</t>
  </si>
  <si>
    <t>https://drive.google.com/uc?id=1-4v7SLrNEPvUClJiPX6fPbye7f-xe6hP</t>
  </si>
  <si>
    <t>2026-04-20T07:28:41.712Z</t>
  </si>
  <si>
    <t>2026-04-21T08:22:30.059Z</t>
  </si>
  <si>
    <t>TKT-1776671610636</t>
  </si>
  <si>
    <t>Starting email notification for: TKT-1778559259749</t>
  </si>
  <si>
    <t>sku-1774606011601</t>
  </si>
  <si>
    <t xml:space="preserve">ຫົວສາກໂທລະສັບ </t>
  </si>
  <si>
    <t>https://drive.google.com/uc?id=1qqijUfFAH6ADv9MGBiYDknTjg3ObPsiy</t>
  </si>
  <si>
    <t>ເບິກໃຫ້ທີມງານການຕະຫລາດ, ພາດເນີຊີບ ແລະ ໂດ້ (ພະນັກງານເກົ່າ)</t>
  </si>
  <si>
    <t>2026-04-20T07:53:29.444Z</t>
  </si>
  <si>
    <t>2026-04-21T08:22:44.252Z</t>
  </si>
  <si>
    <t>TKT-1776671656947</t>
  </si>
  <si>
    <t>sku-1775030479680</t>
  </si>
  <si>
    <t>ສາຍຮັດແຂນ (ກິລາ)</t>
  </si>
  <si>
    <t>ເບິກໃຫ້ທີມງານອາເຈັນຊີ້ ອອກບູສ</t>
  </si>
  <si>
    <t>2026-04-20T07:54:15.631Z</t>
  </si>
  <si>
    <t>2026-04-21T08:23:00.975Z</t>
  </si>
  <si>
    <t>TKT-1776756480752</t>
  </si>
  <si>
    <t xml:space="preserve">ອັນ </t>
  </si>
  <si>
    <t>https://drive.google.com/uc?id=1B_KAX_feXQ3CMAmTpd2uBb5tYXEk6GM7</t>
  </si>
  <si>
    <t>ຊັບມິດຄືນ ເພຶ່ອຊັບພອດເຄມເປນ LNY</t>
  </si>
  <si>
    <t>Starting email notification for: TKT-1778647133017</t>
  </si>
  <si>
    <t>2026-04-21T07:27:59.520Z</t>
  </si>
  <si>
    <t>2026-04-21T08:23:19.410Z</t>
  </si>
  <si>
    <t>TKT-1776829073779</t>
  </si>
  <si>
    <t xml:space="preserve">ສາຍຫ້ອຍຄໍ (ພວງກະແຈ) </t>
  </si>
  <si>
    <t>https://drive.google.com/uc?id=1SjrjCqWIZ9xsY24MDwA6iHYnm4mmIvmX</t>
  </si>
  <si>
    <t>Starting email notification for: TKT-1778727782508</t>
  </si>
  <si>
    <t>sku-1775456004647</t>
  </si>
  <si>
    <t>ກະເປົາກິລາ</t>
  </si>
  <si>
    <t>Free gifts and giveaways for customers at booth events.ເຄື່ອງເເຈກໃຫ້ລູກຄ້າຫນ້າບູດສາຂາວັງທອງ</t>
  </si>
  <si>
    <t>2026-04-22T03:37:52.310Z</t>
  </si>
  <si>
    <t xml:space="preserve">ເພີ້ມເຕີມມີ:
ແນວຕັ້ງໂທລະສັບ 10ອັນ
ຫົວສາກ 10 ອັນ </t>
  </si>
  <si>
    <t>2026-04-23T08:51:44.120Z</t>
  </si>
  <si>
    <t>https://drive.google.com/uc?id=1kOKWOoaNPcNH9Ken9EcAs_gXj79RY2WY</t>
  </si>
  <si>
    <t>TKT-1776927415197</t>
  </si>
  <si>
    <t>Starting email notification for: TKT-1778827318176</t>
  </si>
  <si>
    <t>Free gifts and giveaways for customers at booth events. ເເຈກໃຫ້ກັບລູກຄ້າຫນ້າບູດສາຂາວັງທອງ</t>
  </si>
  <si>
    <t>2026-04-23T06:56:53.725Z</t>
  </si>
  <si>
    <t xml:space="preserve">ເມເບິກໄປຊັບພອດບູສ ຫນ້າຮ້ານຄຳພູວົງ </t>
  </si>
  <si>
    <t>2026-04-23T08:52:05.096Z</t>
  </si>
  <si>
    <t>sku-1775815774049</t>
  </si>
  <si>
    <t xml:space="preserve">ຂາຕັ້ງໂທລະສັບ </t>
  </si>
  <si>
    <t>https://drive.google.com/uc?id=1jmqc8j3ZTxA2splfDuZQj9H-NutS5jY1</t>
  </si>
  <si>
    <t>TKT-1776927769965</t>
  </si>
  <si>
    <t>ຂາຕັ້ງໂທລະສັບ</t>
  </si>
  <si>
    <t>ເບິກເຄື່ອງໃຫ້ອາເຈັນຊີ້ປະຈຳເດືອນ 5 ແລະ ເບິກໃຊ້ຊັບພອດງານ ອີເວັ້ນ StartUp 2026</t>
  </si>
  <si>
    <t>2026-04-23T07:02:48.592Z</t>
  </si>
  <si>
    <t>sku-1776756364541</t>
  </si>
  <si>
    <t xml:space="preserve">ຫມາຍເຫດ: ຄັນຮົ່ມກອຟ ເບິກໄປງານແລ້ວ, ແຕ່ບໍ່ທັນໄດ້ແຈກ ລໍຖ້າຜອລູ່ໃຫ້ຄຳເຫັນ </t>
  </si>
  <si>
    <t>ຖົງກັນນ້ຳ</t>
  </si>
  <si>
    <t>2026-04-23T08:52:24.977Z</t>
  </si>
  <si>
    <t>https://drive.google.com/uc?id=1VszHSBFpeyl0E85KtcFgbOUmlO2DU0kK</t>
  </si>
  <si>
    <t>Starting email notification for: TKT-1779177060877</t>
  </si>
  <si>
    <t>TKT-1776999501965</t>
  </si>
  <si>
    <t>ຫົວສາກໂທລະສັບ</t>
  </si>
  <si>
    <t>sku-1776929481221</t>
  </si>
  <si>
    <t>ພັດລົມໄອນ້ຳ</t>
  </si>
  <si>
    <t>ຍື່ມມາໃຫ້ລຸງຍາມ ,ອ້າຍນ້ອງຕຳຫຼວດ</t>
  </si>
  <si>
    <t>2026-04-24T02:58:18.483Z</t>
  </si>
  <si>
    <t>https://drive.google.com/uc?id=10QLgb3n0xzBQ_jM_-pwndcbwkLbI71uf</t>
  </si>
  <si>
    <t>  ສຸກ, ໄດ້ໄປເບິກເອົາຢູ່ສາງເອງ ວັນທີ່ 23.04.2026 ຕອນເລິກວຽກ</t>
  </si>
  <si>
    <t>2026-04-28T07:43:34.377Z</t>
  </si>
  <si>
    <t>borrow</t>
  </si>
  <si>
    <t>Starting email notification for: TKT-1779178137478</t>
  </si>
  <si>
    <t>TKT-1777276449750</t>
  </si>
  <si>
    <t>sku-1777355358958</t>
  </si>
  <si>
    <t>ໂຕະຜ້າແບບ ໄຮໂດຣິກ</t>
  </si>
  <si>
    <t>Starting email notification for: TKT-1779336387407</t>
  </si>
  <si>
    <t>https://drive.google.com/uc?id=1HoAmxwlbdl1qPnJK8xZ0qQ21QzOFtpON</t>
  </si>
  <si>
    <t>ເບີດເຄື່ອງໄວ້ສາງຊັ້ນ 6</t>
  </si>
  <si>
    <t>2026-04-27T07:54:09.423Z</t>
  </si>
  <si>
    <t>2026-04-28T07:45:30.211Z</t>
  </si>
  <si>
    <t>Starting email notification for: TKT-1779437242667</t>
  </si>
  <si>
    <t>TKT-1777348190787</t>
  </si>
  <si>
    <t>2026-04-28T03:49:49.600Z</t>
  </si>
  <si>
    <t xml:space="preserve">ບິກແມ່ນມີ4ກັບ,  ກັບລະ 50ກ້ານ </t>
  </si>
  <si>
    <t>2026-04-28T07:46:05.699Z</t>
  </si>
  <si>
    <t>TKT-1777355053398</t>
  </si>
  <si>
    <t>Recipients resolved: annasorsukun@gmail.com</t>
  </si>
  <si>
    <t>Email successfully sent to annasorsukun@gmail.com</t>
  </si>
  <si>
    <t>BTL ເບີກເຄື່ອງອອກບູດປະຈຳຫນ້າຮ້ານ 3ສາຂາ ເເລະ ເຄື່ອງເເຈກໃຫ້ບູດກິດຈະກຳຂອງທາງD-Day Agency</t>
  </si>
  <si>
    <t>2026-04-28T05:44:11.757Z</t>
  </si>
  <si>
    <t>2026-04-28T07:46:26.937Z</t>
  </si>
  <si>
    <t>sku-1781512257490</t>
  </si>
  <si>
    <t xml:space="preserve">KPV ໂຕະໄຮໂດຣລິກ </t>
  </si>
  <si>
    <t>TKT-1778045180113</t>
  </si>
  <si>
    <t>https://drive.google.com/uc?id=1MqGx01AlFXDu7QUlfLME61Lq2FSy3nyF</t>
  </si>
  <si>
    <t>2026-05-06T05:26:18.534Z</t>
  </si>
  <si>
    <t>2026-05-12T04:33:22.044Z</t>
  </si>
  <si>
    <t>TKT-1778230741215</t>
  </si>
  <si>
    <t>MKT and CS</t>
  </si>
  <si>
    <t>2026-05-08T08:58:59.313Z</t>
  </si>
  <si>
    <t>2026-05-12T04:32:43.628Z</t>
  </si>
  <si>
    <t>sku-1781666955837</t>
  </si>
  <si>
    <t>Pride Bag</t>
  </si>
  <si>
    <t xml:space="preserve">ນ່ວຍ </t>
  </si>
  <si>
    <t>TKT-1778467898610</t>
  </si>
  <si>
    <t>Starting email notification for: TKT-1779776573671</t>
  </si>
  <si>
    <t>https://drive.google.com/uc?id=1KzZVez0d54XupruCjZCffgSVHrpxR2RS</t>
  </si>
  <si>
    <t>ເບີກໃຫ້ກອງເລຂາ ຕອ້ນຮັບແຂກທາງຫ້ອງການ KPV</t>
  </si>
  <si>
    <t>2026-05-11T02:51:34.125Z</t>
  </si>
  <si>
    <t xml:space="preserve">ຕາດຳພາເລຂາຫົວຫນ້າໄປຂົນເອົາເຄື່ອງຢູ່ສາງ </t>
  </si>
  <si>
    <t>2026-05-12T04:34:47.745Z</t>
  </si>
  <si>
    <t>Starting email notification for: TKT-1779876975030</t>
  </si>
  <si>
    <t>TKT-1778469681143</t>
  </si>
  <si>
    <t>ໄວຮັບແຂກ ຜູ້ອຳນວຍການ</t>
  </si>
  <si>
    <t>2026-05-11T03:21:13.404Z</t>
  </si>
  <si>
    <t>Starting email notification for: TKT-1779880791871</t>
  </si>
  <si>
    <t>ສຸກ, ເບິກເອົາຊຸດຈອກກາເຟວ່າໄວ້ສາງຊັ້ນ 6 ເພື່ອໄວ້ຮັບແຂກ ແລະ ເພື່ອໄວ້ແຈກ 
ເບິກງວດທີ່ສອງ</t>
  </si>
  <si>
    <t>2026-05-12T04:34:31.614Z</t>
  </si>
  <si>
    <t xml:space="preserve">ຫມວກ 2026 </t>
  </si>
  <si>
    <t>TKT-1778559259749</t>
  </si>
  <si>
    <t>Starting email notification for: TKT-1779956511825</t>
  </si>
  <si>
    <t>ເບີກເຄື່ອງໄວ້ໄຫ້ລູກຄ້າແລກ easy point</t>
  </si>
  <si>
    <t>2026-05-12T04:14:18.498Z</t>
  </si>
  <si>
    <t>ໂຕນີ້, ແມ່ນເບິກໃຫ້ ທີມ CX ພິເສດ</t>
  </si>
  <si>
    <t>2026-05-13T03:55:04.392Z</t>
  </si>
  <si>
    <t>sku-1785120875998</t>
  </si>
  <si>
    <t>A4 Brochure Easy Hub</t>
  </si>
  <si>
    <t>https://drive.google.com/uc?id=1oz22cD3LXJjbwdf5HjmMvZSseCIFieCW</t>
  </si>
  <si>
    <t>TKT-1778647133017</t>
  </si>
  <si>
    <t>2026-05-13T04:38:51.479Z</t>
  </si>
  <si>
    <t>2026-05-15T02:06:32.185Z</t>
  </si>
  <si>
    <t>Starting email notification for: TKT-1780305786573</t>
  </si>
  <si>
    <t>TKT-1778727782508</t>
  </si>
  <si>
    <t>2026-05-14T03:02:56.294Z</t>
  </si>
  <si>
    <t xml:space="preserve">*ຊຸດພິນ້ຽມ ເບິກມາງານ MOU x10
ເຫລືອນັ້ນແມ່ນເບິກມາໄວ້ໃຫ້ອາເຈັນຊີ້ອອກງານຊ່ວງເດືອນ 6 </t>
  </si>
  <si>
    <t>2026-05-19T04:13:32.849Z</t>
  </si>
  <si>
    <t>Starting email notification for: TKT-1780308974303</t>
  </si>
  <si>
    <t>TKT-1778827318176</t>
  </si>
  <si>
    <t>ເບີກເຄຶ່ອງແຄມເປນ Cashback</t>
  </si>
  <si>
    <t>2026-05-15T06:41:57.350Z</t>
  </si>
  <si>
    <t>Resubmitte ເພາະທຳອິດຫລົງຊັບມິດເປັນເບິກເຄື່ອງຢືມ</t>
  </si>
  <si>
    <t>2026-05-19T04:13:48.618Z</t>
  </si>
  <si>
    <t>TKT-1779178137478</t>
  </si>
  <si>
    <t>Starting email notification for: TKT-1780539510415</t>
  </si>
  <si>
    <t>sku-1787027890986</t>
  </si>
  <si>
    <t>ເບີກເຄື່ອງໄວ້ສາງຊັ້ນ6 ໄວ້ໄຫ້ລູກຄ້າ easy point</t>
  </si>
  <si>
    <t>ກ່ອງຂອງຂວັນ</t>
  </si>
  <si>
    <t>2026-05-19T08:08:53.908Z</t>
  </si>
  <si>
    <t>2026-05-26T03:11:45.043Z</t>
  </si>
  <si>
    <t>https://drive.google.com/uc?id=1w6mrynZYYoq6YH-slIL1rXVv2ux-bKe-</t>
  </si>
  <si>
    <t>TKT-1779336387407</t>
  </si>
  <si>
    <t>Starting email notification for: TKT-1781075113062</t>
  </si>
  <si>
    <t>Join Wii fair - Walk in interview event</t>
  </si>
  <si>
    <t>2026-05-21T04:06:27.095Z</t>
  </si>
  <si>
    <t>HR ເບິກໄປຊັບພອດງານ 108job</t>
  </si>
  <si>
    <t>2026-05-26T03:12:23.734Z</t>
  </si>
  <si>
    <t>Starting email notification for: TKT-1781083706105</t>
  </si>
  <si>
    <t>TKT-1779437242667</t>
  </si>
  <si>
    <t>sku-1787714793029</t>
  </si>
  <si>
    <t>Tote Bag If &amp; Art</t>
  </si>
  <si>
    <t>https://drive.google.com/uc?id=1z9O4vnsWmlazf9clvYNlfXnb8bgrZQ0x</t>
  </si>
  <si>
    <t>ເບີກໄວ້ໃສ່ເຄື່ອງໄຫ້ລູກຄ້າ</t>
  </si>
  <si>
    <t>2026-05-22T08:07:21.414Z</t>
  </si>
  <si>
    <t xml:space="preserve">CX ເບິກໄວ້ໃສ່ເຄື່ອງໃຫ້ລູກຄ້າ </t>
  </si>
  <si>
    <t>2026-05-26T03:11:17.051Z</t>
  </si>
  <si>
    <t>TKT-1779776573671</t>
  </si>
  <si>
    <t>ເບີກເຄື່ອງໄຫ້ລູກຄ້າ ແລກ easy point</t>
  </si>
  <si>
    <t>2026-05-26T06:22:58.274Z</t>
  </si>
  <si>
    <t>2026-06-19T04:21:55.114Z</t>
  </si>
  <si>
    <t>TKT-1779876975030</t>
  </si>
  <si>
    <t>sku-1787715043950</t>
  </si>
  <si>
    <t>Gift set 2026</t>
  </si>
  <si>
    <t>ຊຸດ</t>
  </si>
  <si>
    <t>https://drive.google.com/uc?id=18RNb3orfnwjRMeobW3v-OG3QH9A3PKzy</t>
  </si>
  <si>
    <t>ເບີກເຄື່ອງໄຫ້ລູກຄ້າ ແລກ ອີຊີພ້ອຍ</t>
  </si>
  <si>
    <t>2026-05-27T10:16:12.784Z</t>
  </si>
  <si>
    <t>ເອື້ອຍປູນາ ເອົາໃຫ້ 80ອັນ ຕໍ່ມາ ອ້າຍຕາດຳເອົາເພີ້ມໃຫ້ອີກ 50ອັນ</t>
  </si>
  <si>
    <t>2026-06-19T04:22:11.430Z</t>
  </si>
  <si>
    <t>TKT-1779880791871</t>
  </si>
  <si>
    <t>Campaign Lao Viet Bank ແຈກກະເປົ໋າ 10 ຫນ່ວຍ</t>
  </si>
  <si>
    <t>2026-05-27T11:19:49.594Z</t>
  </si>
  <si>
    <t>2026-06-19T04:22:28.876Z</t>
  </si>
  <si>
    <t>sku-1788146835376</t>
  </si>
  <si>
    <t xml:space="preserve">Piggy Bank V2 </t>
  </si>
  <si>
    <t>TKT-1779956511825</t>
  </si>
  <si>
    <t>returned</t>
  </si>
  <si>
    <t>https://drive.google.com/uc?id=1DO8XzALge_qHw41jw1x7ONsA2MYlMfIA</t>
  </si>
  <si>
    <t>CDD at Suan Pruek Sa for CSR</t>
  </si>
  <si>
    <t>2026-05-28T08:21:50.509Z</t>
  </si>
  <si>
    <t>2026-06-23T03:06:25.921Z</t>
  </si>
  <si>
    <t>Returned</t>
  </si>
  <si>
    <t>Partial return processed by warehouse</t>
  </si>
  <si>
    <t>TKT-1780305786573</t>
  </si>
  <si>
    <t>Support Children's day campaign</t>
  </si>
  <si>
    <t>2026-06-01T09:23:05.490Z</t>
  </si>
  <si>
    <t>2026-06-19T04:23:08.414Z</t>
  </si>
  <si>
    <t>TKT-1780308974303</t>
  </si>
  <si>
    <t>ລາຍການຊັບມິດອອກໃຫ້ອາເຈັນຊີ້ ແລະ ມອບໃຫ້ລູູກຄ້າຄະແນນລ້ານປ້າຍບາງສ່ວນ</t>
  </si>
  <si>
    <t>2026-06-01T10:16:11.982Z</t>
  </si>
  <si>
    <t xml:space="preserve">Remark: ລາຍການຊັບມິດອອກໃຫ້ອາເຈັນຊີ້ ແລະ ມອບໃຫ້ລູູກຄ້າຄະແນນລ້ານປ້າຍບາງສ່ວນ
</t>
  </si>
  <si>
    <t>2026-06-19T04:23:19.610Z</t>
  </si>
  <si>
    <t>TKT-1780539510415</t>
  </si>
  <si>
    <t>ເບີກອອກງານສຳມະນາ, ເອຊີລີດາ 5/6/2026</t>
  </si>
  <si>
    <t>2026-06-04T02:18:27.932Z</t>
  </si>
  <si>
    <t xml:space="preserve">ແລະ ກະເປົາກີລາ 5 ນ່ວຍ, ເຊິ່ງໂຕນີ້ຈະຊັບມິດອອກຕາມຫລັງ </t>
  </si>
  <si>
    <t>2026-06-19T04:23:27.984Z</t>
  </si>
  <si>
    <t>TKT-1781075113062</t>
  </si>
  <si>
    <t>ເບີກໃຫ້ອາເຈນຊີ່</t>
  </si>
  <si>
    <t>2026-06-10T07:05:10.372Z</t>
  </si>
  <si>
    <t>2026-06-19T04:23:37.735Z</t>
  </si>
  <si>
    <t>[SETTING] logSettingChange</t>
  </si>
  <si>
    <t>logSettingChange</t>
  </si>
  <si>
    <t>TKT-1781083706105</t>
  </si>
  <si>
    <t>admin</t>
  </si>
  <si>
    <t>Name: Test SKU added, Category: Merch, Unit: pcs, CPU: 10000</t>
  </si>
  <si>
    <t>Giveaway for testimonial video shooting</t>
  </si>
  <si>
    <t>2026-06-10T09:28:24.496Z</t>
  </si>
  <si>
    <t>2026-06-19T04:23:46.764Z</t>
  </si>
  <si>
    <t>SKU: Test SKU added (sku-1781662984770), Qty: +15, Date: 2026-06-17, Remark: Test PO</t>
  </si>
  <si>
    <t>TKT-1781773158812</t>
  </si>
  <si>
    <t>Name: Pride Bag, Category: Merch, Unit: ນ່ວຍ , CPU: 75000</t>
  </si>
  <si>
    <t>giveaway to mae loma for testimonial and olay for pride month campaign review</t>
  </si>
  <si>
    <t>2026-06-18T08:59:15.446Z</t>
  </si>
  <si>
    <t>2026-07-02T02:33:16.375Z</t>
  </si>
  <si>
    <t>TKT-1781775750887</t>
  </si>
  <si>
    <t>Name: ຫມວກ 2026 , Category: Merch, Unit: ນ່ວຍ, CPU: 55000</t>
  </si>
  <si>
    <t>ເບີກໃຫ້ກັບທາງ ທີມງານເອເຈນຊີ ໃນການເຮັດກິດຈະກຳການຕະຫລາດຫນ້າບູດ</t>
  </si>
  <si>
    <t>2026-06-18T09:42:30.994Z</t>
  </si>
  <si>
    <t>Starting email notification for: TKT-1781773158812</t>
  </si>
  <si>
    <t xml:space="preserve">ທີມອາເຈັນຊີ້ເບິກເພີ້ມ, ເນື່ອງຈາກໄດ້ຖານລູກຄ້າເພີ້ມຂຶ້ນ </t>
  </si>
  <si>
    <t>2026-07-02T02:33:31.723Z</t>
  </si>
  <si>
    <t>TKT-1781776422307</t>
  </si>
  <si>
    <t>Starting email notification for: TKT-1781775750887</t>
  </si>
  <si>
    <t>ກະເປົ໋າສຳລັບແຄມເປນ Pride Month</t>
  </si>
  <si>
    <t>2026-06-18T09:53:43.481Z</t>
  </si>
  <si>
    <t>2026-06-19T04:24:00.506Z</t>
  </si>
  <si>
    <t>TKT-1781776426981</t>
  </si>
  <si>
    <t>Starting email notification for: TKT-1781776422307</t>
  </si>
  <si>
    <t>ເບີກໃຫ້ກັບທາງ ທີມເອເຈນຊີ 20, ATL 5 ເເລະ ອອກບູດຫນ້າຮ້ານ5</t>
  </si>
  <si>
    <t>Starting email notification for: TKT-1781776426981</t>
  </si>
  <si>
    <t>2026-06-18T09:53:47.422Z</t>
  </si>
  <si>
    <t>ບ໋ອດ ຊັບມິດເບິກແຍກຕ່າງຫາກແລ້ວ 2 ນ່ວຍ</t>
  </si>
  <si>
    <t>2026-07-02T02:33:45.768Z</t>
  </si>
  <si>
    <t>TKT-1782183777297</t>
  </si>
  <si>
    <t>ເບິກເຄື່ອງໄວ້ສາງຊັ້ນ 6</t>
  </si>
  <si>
    <t>2026-06-23T03:02:56.033Z</t>
  </si>
  <si>
    <t>CX ເບິກມາໄວ້ເພື່ອແຈກໃຫ້ລູກຄ້າຊ່ວງທ້າຍປີ</t>
  </si>
  <si>
    <t>2026-07-02T02:34:02.088Z</t>
  </si>
  <si>
    <t>TKT-1782703189783</t>
  </si>
  <si>
    <t>ແພມ ມາລິສາ ຂໍເບີກຂອງຝາກໃຫ້ທາງກະຊວງ</t>
  </si>
  <si>
    <t>2026-06-29T03:19:48.444Z</t>
  </si>
  <si>
    <t>2026-07-02T02:34:11.828Z</t>
  </si>
  <si>
    <t>TKT-1782801962258</t>
  </si>
  <si>
    <t>ເບີກໃຫ້ຫົວໜ້າ</t>
  </si>
  <si>
    <t>2026-06-30T06:45:59.677Z</t>
  </si>
  <si>
    <t>2026-07-02T02:34:25.060Z</t>
  </si>
  <si>
    <t>TKT-1783305053069</t>
  </si>
  <si>
    <t>ເບີກເຄຶ່ອງອອກບູ໊ດໜ້າຮ້ານຄຳ</t>
  </si>
  <si>
    <t>2026-07-06T02:30:49.820Z</t>
  </si>
  <si>
    <t xml:space="preserve">Approved </t>
  </si>
  <si>
    <t>2026-07-14T02:58:23.294Z</t>
  </si>
  <si>
    <t>TKT-1783319725593</t>
  </si>
  <si>
    <t>ເບີກເຄື່ອງໃຫ້ ອາເຈນຊີ່ ປະຈຳເດືອນ7</t>
  </si>
  <si>
    <t>2026-07-06T06:35:21.498Z</t>
  </si>
  <si>
    <t>2026-07-14T02:58:02.309Z</t>
  </si>
  <si>
    <t>TKT-1783482332278</t>
  </si>
  <si>
    <t>ເອົາໄປໃຫ້ຜູ້ວ່າ ທະນາຄານກາງ</t>
  </si>
  <si>
    <t>2026-07-08T03:45:30.733Z</t>
  </si>
  <si>
    <t>2026-07-14T02:57:37.530Z</t>
  </si>
  <si>
    <t>TKT-1783665317672</t>
  </si>
  <si>
    <t>ເບີກໃຫ້ຫົວໜ້າ ເອົາໄປວັດໄຕ</t>
  </si>
  <si>
    <t>2026-07-10T06:35:16.537Z</t>
  </si>
  <si>
    <t>2026-07-14T02:57:17.140Z</t>
  </si>
  <si>
    <t>TKT-1784194879118</t>
  </si>
  <si>
    <t>baybiethammavong@gmail.com</t>
  </si>
  <si>
    <t>2026-07-16T09:41:17.912Z</t>
  </si>
  <si>
    <t>2026-07-21T09:30:05.556Z</t>
  </si>
  <si>
    <t>SKU: ບິກອີຊີໂກລ (sku-1771406960024), Qty: +1500, Date: 2026-06-22, Remark: WLH26006-017</t>
  </si>
  <si>
    <t>cs_transfer</t>
  </si>
  <si>
    <t>TKT-1784196482428</t>
  </si>
  <si>
    <t>ເບີກໄວ້ໃສ່ເຄື່ອງຕ່າງໆໃຫ້ກັບລູກຄ້າຫນ້າບູດເເລະງານນອກອື່ນໆ</t>
  </si>
  <si>
    <t>2026-07-16T10:08:01.205Z</t>
  </si>
  <si>
    <t>2026-07-21T09:30:24.560Z</t>
  </si>
  <si>
    <t>TKT-1785124833384</t>
  </si>
  <si>
    <t>ເບີກເຄື່ອງໃຫ້ ອາເຈນຊີ່</t>
  </si>
  <si>
    <t>2026-07-27T04:00:29.053Z</t>
  </si>
  <si>
    <t xml:space="preserve">ຫົວສາກໂທລະສັບ ຕາດຳໄປເບິກມາກ່ອນ 15ອັນ,  ປູນາ ໄປເບິກເພີ້ມອີກ 35ອັນ </t>
  </si>
  <si>
    <t>2026-08-11T08:21:57.113Z</t>
  </si>
  <si>
    <t>Starting email notification for: TKT-1782183777297</t>
  </si>
  <si>
    <t>TKT-1785319376214</t>
  </si>
  <si>
    <t>ເພື່ອໃຫ້ກັບພະນັກງານເຂົ້າໃຫມ່ ແລະ ລາງວັນພະນັກງານດີເດັ່ນ ຂອງຝ່າຍບຸກຄະລາກອນ</t>
  </si>
  <si>
    <t>2026-07-29T10:02:54.450Z</t>
  </si>
  <si>
    <t>2026-08-11T08:22:58.363Z</t>
  </si>
  <si>
    <t>TKT-1785380476796</t>
  </si>
  <si>
    <t>recalled</t>
  </si>
  <si>
    <t>ຂໍເບີກໄວ້ໃຫ້ແຂກ</t>
  </si>
  <si>
    <t>2026-07-30T03:01:14.603Z</t>
  </si>
  <si>
    <t>2026-07-30T06:07:58.065Z</t>
  </si>
  <si>
    <t>Recalled</t>
  </si>
  <si>
    <t>Ticket recalled by creator</t>
  </si>
  <si>
    <t>TKT-1785723806693</t>
  </si>
  <si>
    <t>Campaign ລົງທະບຽນຟຣີ ລຸ້ນຮັບຈອກກາເຟ 50 ລາງວັນ (ອີກ 10  ຫນ່ວຍ ແມ່ນຈາກເບື້ອງແຄມເປນ)</t>
  </si>
  <si>
    <t>2026-08-03T02:23:24.942Z</t>
  </si>
  <si>
    <t>2026-08-11T08:23:12.833Z</t>
  </si>
  <si>
    <t>TKT-1785906517147</t>
  </si>
  <si>
    <t>ເບີກເຄຶ່ອງເເຈກໃຫ້ກັບທີມງານເອເຈນຊີໃນການອອກບູດກິດຈະກຳທາງການຕະຫລາດ</t>
  </si>
  <si>
    <t>2026-08-05T05:08:30.351Z</t>
  </si>
  <si>
    <t>2026-08-11T08:23:35.437Z</t>
  </si>
  <si>
    <t>TKT-1785906687323</t>
  </si>
  <si>
    <t>2026-08-05T05:11:24.147Z</t>
  </si>
  <si>
    <t>2026-08-11T08:23:46.858Z</t>
  </si>
  <si>
    <t>TKT-1786010348459</t>
  </si>
  <si>
    <t>SKU: ກະເປົາເດີນທາງ (sku-1771407897767), Qty: +100, Date: 2026-06-25, Remark: WLH26006-024_24Jun2026</t>
  </si>
  <si>
    <t>ໃສ່ກະເປົ໋າແຄມເປນ Artist (If and ART)</t>
  </si>
  <si>
    <t>2026-08-06T09:59:07.531Z</t>
  </si>
  <si>
    <t>Starting email notification for: TKT-1782703189783</t>
  </si>
  <si>
    <t>ເອົາມາໄວ້ໃຊ້ ຮ່ວມກັນ ທີມ IMC &amp; GC</t>
  </si>
  <si>
    <t>2026-08-11T08:24:00.039Z</t>
  </si>
  <si>
    <t>TKT-1786012380968</t>
  </si>
  <si>
    <t>ເບີກໄວ້ໃສ່ຄໍາໄຫ້ລູກຄ້າ</t>
  </si>
  <si>
    <t>2026-08-06T10:32:59.353Z</t>
  </si>
  <si>
    <t>Starting email notification for: TKT-1782801962258</t>
  </si>
  <si>
    <t>2026-08-11T08:24:13.515Z</t>
  </si>
  <si>
    <t>TKT-1786081639947</t>
  </si>
  <si>
    <t>ເບີກເຄື່ອງໃຫ້ທີມງານ ຄຳພູວົງ</t>
  </si>
  <si>
    <t>2026-08-07T05:47:15.722Z</t>
  </si>
  <si>
    <t>ຊັບພອດງານ ເທດສະການແຕ່ງດອງ</t>
  </si>
  <si>
    <t>2026-08-11T08:24:30.967Z</t>
  </si>
  <si>
    <t>TKT-1786414419486</t>
  </si>
  <si>
    <t>For Hero campaign</t>
  </si>
  <si>
    <t>2026-08-11T02:13:40.010Z</t>
  </si>
  <si>
    <t>2026-08-20T07:40:08.819Z</t>
  </si>
  <si>
    <t>TKT-1786414757351</t>
  </si>
  <si>
    <t>Support campaign ງານເທດສະການຄຳ</t>
  </si>
  <si>
    <t>2026-08-11T02:19:17.508Z</t>
  </si>
  <si>
    <t>2026-08-20T07:39:57.626Z</t>
  </si>
  <si>
    <t>Qty_Broken</t>
  </si>
  <si>
    <t>TKT-1786438940716</t>
  </si>
  <si>
    <t>SKU_ID: sku-1771407316677, Name: ຄັນຮົ່ມ 2026, CPU: 84000</t>
  </si>
  <si>
    <t>ເບີກໃຫ້ທີມ ຄຳພູວົງ</t>
  </si>
  <si>
    <t>2026-08-11T09:02:19.503Z</t>
  </si>
  <si>
    <t>2026-08-20T07:39:48.254Z</t>
  </si>
  <si>
    <t>TKT-1786439385448</t>
  </si>
  <si>
    <t>ເບີກເຄື່ອງມາໄວ້ຊັ້ນ4 ໄວ້ອອກບູ໊ດ</t>
  </si>
  <si>
    <t>2026-08-11T09:09:44.100Z</t>
  </si>
  <si>
    <t>2026-08-20T07:39:38.122Z</t>
  </si>
  <si>
    <t>TKT-1787027487933</t>
  </si>
  <si>
    <t>ໃສ່ເຂົ້າຮ່ວມງານບູດເປີດບູດຮັບໃບປະກາດທີ່ວິທະຍາໄລເຕັກນິກລາວເຢຍລະມັນ</t>
  </si>
  <si>
    <t>2026-08-18T04:31:27.051Z</t>
  </si>
  <si>
    <t xml:space="preserve">ຈອກກາເຟ ໃຫ້ບໍ່ໄດ້ </t>
  </si>
  <si>
    <t>2026-08-20T07:39:23.786Z</t>
  </si>
  <si>
    <t>TKT-1787028406085</t>
  </si>
  <si>
    <t>Recipients resolved: malisa.pam1999@gmail.com</t>
  </si>
  <si>
    <t>Email successfully sent to malisa.pam1999@gmail.com</t>
  </si>
  <si>
    <t>ເບີກໃຫ້ກັບທີມໄວ້ໃສ່ເຄື່ອງໃຫ້ກັບລູກຄ້າ</t>
  </si>
  <si>
    <t>2026-08-18T04:46:49.512Z</t>
  </si>
  <si>
    <t>Starting email notification for: TKT-1783305053069</t>
  </si>
  <si>
    <t>2026-08-20T07:38:06.472Z</t>
  </si>
  <si>
    <t>TKT-1787539473267</t>
  </si>
  <si>
    <t>Starting email notification for: TKT-1783319725593</t>
  </si>
  <si>
    <t>requesting as a special merch giveaway for the Media Lobby "EASY BUDDY ສະຫາຍຮ່ວມອອມ" throughout the project</t>
  </si>
  <si>
    <t>2026-08-24T02:44:31.868Z</t>
  </si>
  <si>
    <t>2026-08-31T03:10:53.651Z</t>
  </si>
  <si>
    <t>TKT-1787543425737</t>
  </si>
  <si>
    <t>for the EASY BUDDY project</t>
  </si>
  <si>
    <t>2026-08-24T03:50:23.099Z</t>
  </si>
  <si>
    <t>2026-08-31T03:10:38.694Z</t>
  </si>
  <si>
    <t>TKT-1787814988879</t>
  </si>
  <si>
    <t>Starting email notification for: TKT-1783482332278</t>
  </si>
  <si>
    <t>campaign support</t>
  </si>
  <si>
    <t>2026-08-27T07:16:27.300Z</t>
  </si>
  <si>
    <t>2026-08-31T03:10:22.309Z</t>
  </si>
  <si>
    <t>TKT-1787815027847</t>
  </si>
  <si>
    <t>reviewed</t>
  </si>
  <si>
    <t>Starting email notification for: TKT-1783665317672</t>
  </si>
  <si>
    <t>EASY GOLD DCA Challenge Campaign</t>
  </si>
  <si>
    <t>2026-08-27T07:17:07.325Z</t>
  </si>
  <si>
    <t>2026-08-31T07:08:49.701Z</t>
  </si>
  <si>
    <t>Moved</t>
  </si>
  <si>
    <t>TKT-1787815069324</t>
  </si>
  <si>
    <t>2026-08-27T07:17:48.217Z</t>
  </si>
  <si>
    <t>2026-08-31T07:09:06.879Z</t>
  </si>
  <si>
    <t>TKT-1788159864557</t>
  </si>
  <si>
    <t>ເຄຶ່ອງໄວ້ຊັບພອດແຄມເປນຕູ້ຄີບຄຳ ໃນງານເທດສະການຄຳ</t>
  </si>
  <si>
    <t>2026-08-31T07:04:18.711Z</t>
  </si>
  <si>
    <t>2026-08-31T07:05:16.592Z</t>
  </si>
  <si>
    <t>TKT-1788160090372</t>
  </si>
  <si>
    <t>Name: Customer Service, Email: cs@easygold.com, Role: customer_service, Dept: Customer Service</t>
  </si>
  <si>
    <t>ຊັບພອດແຄມເປນນ ຕູ້ຄີບຄຳໃນງານເທດສະການຄຳ</t>
  </si>
  <si>
    <t>2026-08-31T07:08:09.795Z</t>
  </si>
  <si>
    <t>2026-08-31T08:54:43.452Z</t>
  </si>
  <si>
    <t>Imported 5 SKUs from MKT master</t>
  </si>
  <si>
    <t>TKT-1788160549227</t>
  </si>
  <si>
    <t>rejected</t>
  </si>
  <si>
    <t>Name: This SKU for CS testing, Category: Merch, Unit: pcs, CPU: 10000</t>
  </si>
  <si>
    <t>ຂໍເບີກໄປງານສະມາຄົມຄຳທີ່ສຸພັດຕຣາ</t>
  </si>
  <si>
    <t>2026-08-31T07:15:47.380Z</t>
  </si>
  <si>
    <t>Rejected</t>
  </si>
  <si>
    <t>2026-08-31T08:54:10.052Z</t>
  </si>
  <si>
    <t>TKT-1788160640377</t>
  </si>
  <si>
    <t>2026-08-31T07:17:18.586Z</t>
  </si>
  <si>
    <t>2026-08-31T08:53:20.352Z</t>
  </si>
  <si>
    <t>TKT-1788160731560</t>
  </si>
  <si>
    <t>2026-08-31T07:18:49.660Z</t>
  </si>
  <si>
    <t>2026-08-31T08:54:23.112Z</t>
  </si>
  <si>
    <t>TKT-1788160825032</t>
  </si>
  <si>
    <t>2026-08-31T07:20:23.189Z</t>
  </si>
  <si>
    <t>2026-08-31T08:53:04.634Z</t>
  </si>
  <si>
    <t>TKT-1788166528113</t>
  </si>
  <si>
    <t>door gift ຂໍເບີກສິນໄປງານສະມາຄົມຄຳ ສຸພັດຕາ 31/08</t>
  </si>
  <si>
    <t>2026-08-31T08:55:26.669Z</t>
  </si>
  <si>
    <t>2026-08-31T08:58:23.845Z</t>
  </si>
  <si>
    <t>TKT-1788166702442</t>
  </si>
  <si>
    <t>pending</t>
  </si>
  <si>
    <t>ເບີກໄປໄວ້ຊັບພອດຫົວໜ້າໃນງານເທດສະການຄຳ 2026</t>
  </si>
  <si>
    <t>2026-08-31T08:58:20.807Z</t>
  </si>
  <si>
    <t>Pending</t>
  </si>
  <si>
    <t>Starting email notification for: TKT-1784194879118</t>
  </si>
  <si>
    <t>TKT-1788230377490</t>
  </si>
  <si>
    <t>ເບີກໄວ້ເພື່ອກິດຈະກຳເດືອນ9ຂອງທາງອາເຈນຊີ</t>
  </si>
  <si>
    <t>2026-09-01T02:39:36.853Z</t>
  </si>
  <si>
    <t>Name: ກ່ອງຄໍາ 2ບາດ , Category: Merch, Unit: 750B , CPU: 3</t>
  </si>
  <si>
    <t>SKU_ID: CS-SKU-1784195239942, Name: ກ່ອງຄໍາ 2ບາດ , CPU: 750</t>
  </si>
  <si>
    <t>SKU_ID: CS-SKU-1784195239942, Name: ກ່ອງຄໍາ 2ບາດ , CPU: 518000</t>
  </si>
  <si>
    <t>Name: ກ່ອງຄໍາ 2ສະຫລຶງ , Category: Merch, Unit: ກ່ອງ, CPU: 518000</t>
  </si>
  <si>
    <t>Name: ກ່ອງຄໍາ 2ບາດ , Category: Merch, Unit: ກ່ອງ, CPU: 518000</t>
  </si>
  <si>
    <t>Name: ກ່ອງຄໍາ 10ບາດ , Category: Merch, Unit: ກ່ອງ, CPU: 311000</t>
  </si>
  <si>
    <t>Name: ກ່ອງຄໍາ5ບາດ, Category: Merch, Unit: ກ່ອງ, CPU: 311000</t>
  </si>
  <si>
    <t>Starting email notification for: TKT-1784196482428</t>
  </si>
  <si>
    <t>Recipients resolved: baybiethammavong@gmail.com</t>
  </si>
  <si>
    <t>Email successfully sent to baybiethammavong@gmail.com</t>
  </si>
  <si>
    <t>Name: A4 Brochure Easy Hub, Category: Booth, Unit: ອັນ, CPU: 1200</t>
  </si>
  <si>
    <t>Name: Paper Bag for GOLD, Category: Merch, Unit: ອັນ, CPU: 7000</t>
  </si>
  <si>
    <t>Starting email notification for: TKT-1785124833384</t>
  </si>
  <si>
    <t>SKU_ID: sku-1785120875998, Name: A4 Brochure Easy Hub, CPU: 1800</t>
  </si>
  <si>
    <t>Beach flag 310x240x60 Cm</t>
  </si>
  <si>
    <t>Starting email notification for: TKT-1785319376214</t>
  </si>
  <si>
    <t>Starting email notification for: TKT-1785380476796</t>
  </si>
  <si>
    <t>Starting email notification for: TKT-1785723806693</t>
  </si>
  <si>
    <t>2026-05-15T02:05:50.241Z</t>
  </si>
  <si>
    <t>Starting email notification for: TKT-1785906517147</t>
  </si>
  <si>
    <t>2026-05-15T06:44:59.862Z</t>
  </si>
  <si>
    <t>Booked</t>
  </si>
  <si>
    <t>Starting email notification for: TKT-1785906687323</t>
  </si>
  <si>
    <t>2026-05-19T08:34:09.587Z</t>
  </si>
  <si>
    <t>Starting email notification for: TKT-1786010348459</t>
  </si>
  <si>
    <t>2026-05-22T08:27:53.340Z</t>
  </si>
  <si>
    <t>2026-05-22T08:28:49.497Z</t>
  </si>
  <si>
    <t>2026-05-28T09:41:15.944Z</t>
  </si>
  <si>
    <t>Starting email notification for: TKT-1786012380968</t>
  </si>
  <si>
    <t>Starting email notification for: TKT-1786081639947</t>
  </si>
  <si>
    <t>2026-05-28T09:42:20.551Z</t>
  </si>
  <si>
    <t>2026-06-01T09:16:28.265Z</t>
  </si>
  <si>
    <t>Starting email notification for: TKT-1786414419486</t>
  </si>
  <si>
    <t>2026-06-01T09:24:09.244Z</t>
  </si>
  <si>
    <t>Starting email notification for: TKT-1786414757351</t>
  </si>
  <si>
    <t>2026-06-01T10:26:37.118Z</t>
  </si>
  <si>
    <t>2026-06-04T08:24:53.870Z</t>
  </si>
  <si>
    <t>Starting email notification for: TKT-1786438940716</t>
  </si>
  <si>
    <t>2026-06-11T06:23:22.799Z</t>
  </si>
  <si>
    <t>Starting email notification for: TKT-1786439385448</t>
  </si>
  <si>
    <t>2026-06-11T06:24:06.838Z</t>
  </si>
  <si>
    <t>Starting email notification for: TKT-1787027487933</t>
  </si>
  <si>
    <t>2026-06-11T06:24:23.768Z</t>
  </si>
  <si>
    <t>Name: ກ່ອງຂອງຂວັນ, Category: Merch, Unit: ອັນ , CPU: 100000</t>
  </si>
  <si>
    <t>Starting email notification for: TKT-1787028406085</t>
  </si>
  <si>
    <t>tx-hist-001</t>
  </si>
  <si>
    <t>RESTOCK</t>
  </si>
  <si>
    <t>2026-03-18T06:24:23.768Z</t>
  </si>
  <si>
    <t>Stock in</t>
  </si>
  <si>
    <t>tx-hist-002</t>
  </si>
  <si>
    <t>2026-03-24T06:24:23.768Z</t>
  </si>
  <si>
    <t>tx-hist-003</t>
  </si>
  <si>
    <t>2026-04-10T06:24:23.768Z</t>
  </si>
  <si>
    <t>tx-hist-004</t>
  </si>
  <si>
    <t>2026-04-27T06:24:23.768Z</t>
  </si>
  <si>
    <t>tx-hist-005</t>
  </si>
  <si>
    <t>2026-05-10T06:24:23.768Z</t>
  </si>
  <si>
    <t>2026-06-18T09:58:41.650Z</t>
  </si>
  <si>
    <t>WLH26006-017</t>
  </si>
  <si>
    <t>SKU_ID: sku-1771407101349, Name: ຈອກເກັບຄວາມເຢັນ, CPU: 73000</t>
  </si>
  <si>
    <t>2026-06-22T08:52:04.262Z</t>
  </si>
  <si>
    <t>2026-06-22T08:52:46.051Z</t>
  </si>
  <si>
    <t>2026-06-22T08:54:05.170Z</t>
  </si>
  <si>
    <t>2026-06-23T03:05:55.846Z</t>
  </si>
  <si>
    <t>2026-06-23T03:06:17.064Z</t>
  </si>
  <si>
    <t>WLH26006-024_24Jun2026</t>
  </si>
  <si>
    <t>2026-06-29T06:02:05.343Z</t>
  </si>
  <si>
    <t>SKU_ID: sku-1787027890986, Name: ກ່ອງຂອງຂວັນ, CPU: 45000</t>
  </si>
  <si>
    <t>Starting email notification for: TKT-1787539473267</t>
  </si>
  <si>
    <t>2026-06-30T06:48:26.611Z</t>
  </si>
  <si>
    <t>2026-07-06T07:49:42.776Z</t>
  </si>
  <si>
    <t>Starting email notification for: TKT-1787543425737</t>
  </si>
  <si>
    <t>Name: Tote Bag If &amp; Art, Category: Merch, Unit: ນ່ວຍ, CPU: 280000</t>
  </si>
  <si>
    <t>Name: Gift set 2026, Category: Merch, Unit: ຊຸດ, CPU: 260000</t>
  </si>
  <si>
    <t>2026-07-07T03:55:17.223Z</t>
  </si>
  <si>
    <t>Starting email notification for: TKT-1787814988879</t>
  </si>
  <si>
    <t>Starting email notification for: TKT-1787815027847</t>
  </si>
  <si>
    <t>Starting email notification for: TKT-1787815069324</t>
  </si>
  <si>
    <t>2026-08-07T09:22:31.457Z</t>
  </si>
  <si>
    <t>2026-07-10T06:45:58.534Z</t>
  </si>
  <si>
    <t>2026-07-16T10:08:52.105Z</t>
  </si>
  <si>
    <t>2026-07-16T10:09:45.389Z</t>
  </si>
  <si>
    <t>2026-07-27T02:54:36.644Z</t>
  </si>
  <si>
    <t>Opening Balance</t>
  </si>
  <si>
    <t>2026-07-27T03:00:16.625Z</t>
  </si>
  <si>
    <t>2026-07-28T03:00:45.281Z</t>
  </si>
  <si>
    <t>Name: Piggy Bank V2 , Category: Merch, Unit: ອັນ , CPU: 59000</t>
  </si>
  <si>
    <t>Starting email notification for: TKT-1788159864557</t>
  </si>
  <si>
    <t>Starting email notification for: TKT-1788160090372</t>
  </si>
  <si>
    <t>2026-07-30T06:01:26.030Z</t>
  </si>
  <si>
    <t>Action_ID</t>
  </si>
  <si>
    <t>Action</t>
  </si>
  <si>
    <t>2026-08-04T02:37:33.372Z</t>
  </si>
  <si>
    <t>Starting email notification for: TKT-1788160549227</t>
  </si>
  <si>
    <t>act-1771577790156</t>
  </si>
  <si>
    <t>2026-08-06T10:05:44.261Z</t>
  </si>
  <si>
    <t>Create</t>
  </si>
  <si>
    <t>Starting email notification for: TKT-1788160640377</t>
  </si>
  <si>
    <t>Starting email notification for: TKT-1788160731560</t>
  </si>
  <si>
    <t>2026-08-06T10:07:13.202Z</t>
  </si>
  <si>
    <t>Starting email notification for: TKT-1788160825032</t>
  </si>
  <si>
    <t>2026-08-06T10:08:23.418Z</t>
  </si>
  <si>
    <t>2026-08-06T10:09:27.026Z</t>
  </si>
  <si>
    <t>act-1771577888542</t>
  </si>
  <si>
    <t>2026-02-20T08:58:06.250Z</t>
  </si>
  <si>
    <t>2026-08-07T02:22:33.736Z</t>
  </si>
  <si>
    <t>Starting email notification for: TKT-1788166528113</t>
  </si>
  <si>
    <t>act-1771578447494</t>
  </si>
  <si>
    <t>2026-08-11T02:09:45.602Z</t>
  </si>
  <si>
    <t>Starting email notification for: TKT-1788166702442</t>
  </si>
  <si>
    <t>2026-02-20T09:07:25.943Z</t>
  </si>
  <si>
    <t>line_manager</t>
  </si>
  <si>
    <t>Starting email notification for: TKT-1788230377490</t>
  </si>
  <si>
    <t>act-1771578449904</t>
  </si>
  <si>
    <t>2026-02-20T09:07:28.144Z</t>
  </si>
  <si>
    <t>2026-08-18T04:38:11.771Z</t>
  </si>
  <si>
    <t>act-1772507240513</t>
  </si>
  <si>
    <t>2026-08-18T04:57:21.458Z</t>
  </si>
  <si>
    <t>KPV ໂຕະໄຮໂດຣລິກ</t>
  </si>
  <si>
    <t>act-1772592113645</t>
  </si>
  <si>
    <t>2026-08-18T04:57:52.561Z</t>
  </si>
  <si>
    <t>act-1772597126104</t>
  </si>
  <si>
    <t>2026-03-04T04:05:26.103Z</t>
  </si>
  <si>
    <t>2026-08-18T04:58:10.653Z</t>
  </si>
  <si>
    <t>act-1772597313959</t>
  </si>
  <si>
    <t>2026-03-04T04:08:33.958Z</t>
  </si>
  <si>
    <t>act-1773299389251</t>
  </si>
  <si>
    <t>2026-08-18T04:58:28.648Z</t>
  </si>
  <si>
    <t>2026-08-18T04:59:24.753Z</t>
  </si>
  <si>
    <t>SKU ID</t>
  </si>
  <si>
    <t>2026-08-19T04:23:45.577Z</t>
  </si>
  <si>
    <t>SKU Name</t>
  </si>
  <si>
    <t>Opening (Paper)</t>
  </si>
  <si>
    <t>Date Opening</t>
  </si>
  <si>
    <t>2026-08-26T03:26:33.510Z</t>
  </si>
  <si>
    <t>Stock In (Paper total)</t>
  </si>
  <si>
    <t>Stock Out System</t>
  </si>
  <si>
    <t>act-1773299423281</t>
  </si>
  <si>
    <t>Expected Current</t>
  </si>
  <si>
    <t>2026-03-12T07:10:23.280Z</t>
  </si>
  <si>
    <t>Current in Sheet</t>
  </si>
  <si>
    <t>2026-08-26T03:30:45.081Z</t>
  </si>
  <si>
    <t>sku-1787715049424</t>
  </si>
  <si>
    <t>2026-08-26T03:30:50.752Z</t>
  </si>
  <si>
    <t>Variance</t>
  </si>
  <si>
    <t>Actual remaim</t>
  </si>
  <si>
    <t>act-1773652080538</t>
  </si>
  <si>
    <t>2026-08-26T09:41:06.927Z</t>
  </si>
  <si>
    <t>2026-08-26T09:41:39.544Z</t>
  </si>
  <si>
    <t>act-1773722472511</t>
  </si>
  <si>
    <t>2026-08-28T04:16:02.622Z</t>
  </si>
  <si>
    <t>2026-03-17T04:41:10.408Z</t>
  </si>
  <si>
    <t>2026-08-31T03:27:15.972Z</t>
  </si>
  <si>
    <t>act-1773722802937</t>
  </si>
  <si>
    <t>act-1773722814948</t>
  </si>
  <si>
    <t>2026-03-17T04:46:52.162Z</t>
  </si>
  <si>
    <t>act-1773723476271</t>
  </si>
  <si>
    <t>act-1773728269600</t>
  </si>
  <si>
    <t>2026-03-17T06:17:46.257Z</t>
  </si>
  <si>
    <t>act-1773728284530</t>
  </si>
  <si>
    <t>2026-03-17T06:18:00.410Z</t>
  </si>
  <si>
    <t>act-1773728293440</t>
  </si>
  <si>
    <t>2026-03-17T06:18:11.442Z</t>
  </si>
  <si>
    <t>act-1773728300840</t>
  </si>
  <si>
    <t>2026-03-17T06:18:18.868Z</t>
  </si>
  <si>
    <t>act-1773728305746</t>
  </si>
  <si>
    <t>2026-03-17T06:18:23.750Z</t>
  </si>
  <si>
    <t>act-1773728691096</t>
  </si>
  <si>
    <t>Piggy Bank V2</t>
  </si>
  <si>
    <t>2026-03-17T06:24:47.469Z</t>
  </si>
  <si>
    <t>act-1773735249639</t>
  </si>
  <si>
    <t>2026-03-17T08:14:04.089Z</t>
  </si>
  <si>
    <t>act-1774339255173</t>
  </si>
  <si>
    <t>act-1774339270072</t>
  </si>
  <si>
    <t>2026-03-24T08:01:06.719Z</t>
  </si>
  <si>
    <t>act-1774339522860</t>
  </si>
  <si>
    <t>director</t>
  </si>
  <si>
    <t>act-1774339537654</t>
  </si>
  <si>
    <t>act-1774339555053</t>
  </si>
  <si>
    <t>act-1774339570245</t>
  </si>
  <si>
    <t>act-1774339584028</t>
  </si>
  <si>
    <t>act-1774339596804</t>
  </si>
  <si>
    <t>act-1774339631577</t>
  </si>
  <si>
    <t>act-1774419742599</t>
  </si>
  <si>
    <t>2026-03-25T06:22:21.582Z</t>
  </si>
  <si>
    <t>act-1774431239689</t>
  </si>
  <si>
    <t>ເບີກເຄື່ອງໄວ່້ສາງຊັ້ນ6</t>
  </si>
  <si>
    <t>act-1774488920270</t>
  </si>
  <si>
    <t>act-1774513871513</t>
  </si>
  <si>
    <t>2026-03-26T08:31:05.392Z</t>
  </si>
  <si>
    <t>act-1774519788051</t>
  </si>
  <si>
    <t>2026-03-26T10:09:44.990Z</t>
  </si>
  <si>
    <t>act-1774519788956</t>
  </si>
  <si>
    <t>act-1774519860981</t>
  </si>
  <si>
    <t>act-1774520416960</t>
  </si>
  <si>
    <t>2026-03-26T10:20:13.353Z</t>
  </si>
  <si>
    <t>act-1774520456788</t>
  </si>
  <si>
    <t>2026-03-26T10:20:54.305Z</t>
  </si>
  <si>
    <t>act-1774575379844</t>
  </si>
  <si>
    <t>act-1774575396297</t>
  </si>
  <si>
    <t>act-1774576840531</t>
  </si>
  <si>
    <t>2026-03-27T02:00:34.650Z</t>
  </si>
  <si>
    <t>act-1774577349251</t>
  </si>
  <si>
    <t>2026-03-27T02:09:07.609Z</t>
  </si>
  <si>
    <t>act-1774594808764</t>
  </si>
  <si>
    <t>act-1775030806815</t>
  </si>
  <si>
    <t>act-1775031097107</t>
  </si>
  <si>
    <t>act-1775035335255</t>
  </si>
  <si>
    <t>2026-04-01T09:22:09.186Z</t>
  </si>
  <si>
    <t>act-1775035445373</t>
  </si>
  <si>
    <t>2026-04-01T09:23:59.705Z</t>
  </si>
  <si>
    <t>act-1775035863840</t>
  </si>
  <si>
    <t>2026-04-01T09:30:57.973Z</t>
  </si>
  <si>
    <t>act-1775035888400</t>
  </si>
  <si>
    <t>2026-04-01T09:31:23.630Z</t>
  </si>
  <si>
    <t>act-1775040521485</t>
  </si>
  <si>
    <t>act-1775040540956</t>
  </si>
  <si>
    <t>act-1775100406022</t>
  </si>
  <si>
    <t>act-1775100445553</t>
  </si>
  <si>
    <t>2026-04-02T03:27:22.925Z</t>
  </si>
  <si>
    <t>act-1775528100990</t>
  </si>
  <si>
    <t>act-1775530513782</t>
  </si>
  <si>
    <t>2026-04-07T02:55:10.310Z</t>
  </si>
  <si>
    <t>act-1775532529213</t>
  </si>
  <si>
    <t>act-1775621610661</t>
  </si>
  <si>
    <t>2026-04-08T04:13:27.336Z</t>
  </si>
  <si>
    <t>act-1775630783142</t>
  </si>
  <si>
    <t>2026-04-08T06:46:17.485Z</t>
  </si>
  <si>
    <t>act-1775633131825</t>
  </si>
  <si>
    <t>act-1775791128777</t>
  </si>
  <si>
    <t>2026-04-10T03:18:44.986Z</t>
  </si>
  <si>
    <t>act-1776670124031</t>
  </si>
  <si>
    <t>act-1776671613908</t>
  </si>
  <si>
    <t>act-1776671658346</t>
  </si>
  <si>
    <t>act-1776678459195</t>
  </si>
  <si>
    <t>2026-04-20T09:47:45.629Z</t>
  </si>
  <si>
    <t>act-1776678737506</t>
  </si>
  <si>
    <t>act-1776678755534</t>
  </si>
  <si>
    <t>act-1776736224992</t>
  </si>
  <si>
    <t>2026-04-21T01:50:21.981Z</t>
  </si>
  <si>
    <t>act-1776736245010</t>
  </si>
  <si>
    <t>2026-04-21T01:50:42.037Z</t>
  </si>
  <si>
    <t>act-1776736257840</t>
  </si>
  <si>
    <t>2026-04-21T01:50:54.417Z</t>
  </si>
  <si>
    <t>act-1776756482844</t>
  </si>
  <si>
    <t>act-1776756588353</t>
  </si>
  <si>
    <t>2026-04-21T07:29:44.452Z</t>
  </si>
  <si>
    <t>act-1776759650373</t>
  </si>
  <si>
    <t>2026-04-21T08:20:47.045Z</t>
  </si>
  <si>
    <t>act-1776759662498</t>
  </si>
  <si>
    <t>2026-04-21T08:21:00.239Z</t>
  </si>
  <si>
    <t>act-1776759673102</t>
  </si>
  <si>
    <t>2026-04-21T08:21:11.172Z</t>
  </si>
  <si>
    <t>act-1776759686082</t>
  </si>
  <si>
    <t>2026-04-21T08:21:24.016Z</t>
  </si>
  <si>
    <t>act-1776759752173</t>
  </si>
  <si>
    <t>act-1776759767028</t>
  </si>
  <si>
    <t>act-1776759783864</t>
  </si>
  <si>
    <t>act-1776759803187</t>
  </si>
  <si>
    <t>act-1776829078264</t>
  </si>
  <si>
    <t>act-1776927134471</t>
  </si>
  <si>
    <t>2026-04-23T06:52:10.834Z</t>
  </si>
  <si>
    <t>act-1776927416462</t>
  </si>
  <si>
    <t>act-1776927774372</t>
  </si>
  <si>
    <t>act-1776928125369</t>
  </si>
  <si>
    <t>2026-04-23T07:08:42.525Z</t>
  </si>
  <si>
    <t>act-1776928200144</t>
  </si>
  <si>
    <t>2026-04-23T07:09:57.926Z</t>
  </si>
  <si>
    <t>act-1776928531847</t>
  </si>
  <si>
    <t>2026-04-23T07:15:29.878Z</t>
  </si>
  <si>
    <t>act-1776928540261</t>
  </si>
  <si>
    <t>2026-04-23T07:15:38.802Z</t>
  </si>
  <si>
    <t>act-1776928547125</t>
  </si>
  <si>
    <t>2026-04-23T07:15:46.114Z</t>
  </si>
  <si>
    <t>act-1776934311152</t>
  </si>
  <si>
    <t>act-1776934328439</t>
  </si>
  <si>
    <t>act-1776934348888</t>
  </si>
  <si>
    <t>act-1776999504685</t>
  </si>
  <si>
    <t>ຍື່ມມາໃຫ້ລຸງຍາມ ,ອາ້ຍນ້ອງຕຳຫຼວດ</t>
  </si>
  <si>
    <t>act-1776999791527</t>
  </si>
  <si>
    <t>2026-04-24T03:03:08.975Z</t>
  </si>
  <si>
    <t>act-1777276452000</t>
  </si>
  <si>
    <t>act-1777348196698</t>
  </si>
  <si>
    <t>act-1777354949620</t>
  </si>
  <si>
    <t>2026-04-28T05:42:27.321Z</t>
  </si>
  <si>
    <t>act-1777354963411</t>
  </si>
  <si>
    <t>2026-04-28T05:42:40.685Z</t>
  </si>
  <si>
    <t>act-1777355060527</t>
  </si>
  <si>
    <t>act-1777355132097</t>
  </si>
  <si>
    <t>2026-04-28T05:45:29.737Z</t>
  </si>
  <si>
    <t>act-1777361241286</t>
  </si>
  <si>
    <t>2026-04-28T07:27:14.025Z</t>
  </si>
  <si>
    <t>act-1777361249596</t>
  </si>
  <si>
    <t>2026-04-28T07:27:27.381Z</t>
  </si>
  <si>
    <t>act-1777361258124</t>
  </si>
  <si>
    <t>2026-04-28T07:27:36.010Z</t>
  </si>
  <si>
    <t>act-1777361276929</t>
  </si>
  <si>
    <t>2026-04-28T07:27:54.120Z</t>
  </si>
  <si>
    <t>act-1777362217428</t>
  </si>
  <si>
    <t>act-1777362333740</t>
  </si>
  <si>
    <t>act-1777362368431</t>
  </si>
  <si>
    <t>act-1777362390316</t>
  </si>
  <si>
    <t>act-1778045183351</t>
  </si>
  <si>
    <t>act-1778060237919</t>
  </si>
  <si>
    <t>2026-05-06T09:37:15.368Z</t>
  </si>
  <si>
    <t>act-1778148660385</t>
  </si>
  <si>
    <t>Update</t>
  </si>
  <si>
    <t>2026-05-07T10:11:00.385Z</t>
  </si>
  <si>
    <t>act-1778149843077</t>
  </si>
  <si>
    <t>2026-05-07T10:30:43.076Z</t>
  </si>
  <si>
    <t>act-1778230743402</t>
  </si>
  <si>
    <t>act-1778467900856</t>
  </si>
  <si>
    <t>act-1778469685329</t>
  </si>
  <si>
    <t>act-1778485280414</t>
  </si>
  <si>
    <t>2026-05-11T07:41:14.925Z</t>
  </si>
  <si>
    <t>act-1778485354500</t>
  </si>
  <si>
    <t>2026-05-11T07:42:30.040Z</t>
  </si>
  <si>
    <t>act-1778485434012</t>
  </si>
  <si>
    <t>2026-05-11T07:43:47.657Z</t>
  </si>
  <si>
    <t>act-1778559262487</t>
  </si>
  <si>
    <t>act-1778560369760</t>
  </si>
  <si>
    <t>2026-05-12T04:32:26.520Z</t>
  </si>
  <si>
    <t>act-1778560370458</t>
  </si>
  <si>
    <t>act-1778560404700</t>
  </si>
  <si>
    <t>act-1778560475892</t>
  </si>
  <si>
    <t>act-1778560493499</t>
  </si>
  <si>
    <t>act-1778644508554</t>
  </si>
  <si>
    <t>act-1778647134544</t>
  </si>
  <si>
    <t>act-1778727150818</t>
  </si>
  <si>
    <t>2026-05-14T02:52:26.868Z</t>
  </si>
  <si>
    <t>act-1778727787920</t>
  </si>
  <si>
    <t>act-1778810755661</t>
  </si>
  <si>
    <t>act-1778810795158</t>
  </si>
  <si>
    <t>act-1778812103212</t>
  </si>
  <si>
    <t>2026-05-15T02:28:17.938Z</t>
  </si>
  <si>
    <t>act-1778827320019</t>
  </si>
  <si>
    <t>act-1778827503677</t>
  </si>
  <si>
    <t>act-1779164016579</t>
  </si>
  <si>
    <t>act-1779164032385</t>
  </si>
  <si>
    <t>act-1779178140403</t>
  </si>
  <si>
    <t>act-1779179655055</t>
  </si>
  <si>
    <t>act-1779336393037</t>
  </si>
  <si>
    <t>act-1779437244296</t>
  </si>
  <si>
    <t>act-1779438476181</t>
  </si>
  <si>
    <t>act-1779438522053</t>
  </si>
  <si>
    <t>2026-05-22T08:28:38.182Z</t>
  </si>
  <si>
    <t>act-1779438532502</t>
  </si>
  <si>
    <t>act-1779703963050</t>
  </si>
  <si>
    <t>2026-05-25T10:12:40.068Z</t>
  </si>
  <si>
    <t>act-1779703991586</t>
  </si>
  <si>
    <t>2026-05-25T10:13:09.182Z</t>
  </si>
  <si>
    <t>act-1779704009183</t>
  </si>
  <si>
    <t>2026-05-25T10:13:24.702Z</t>
  </si>
  <si>
    <t>act-1779765080365</t>
  </si>
  <si>
    <t>act-1779765108664</t>
  </si>
  <si>
    <t>act-1779765146880</t>
  </si>
  <si>
    <t>act-1779776576970</t>
  </si>
  <si>
    <t>act-1779876978046</t>
  </si>
  <si>
    <t>act-1779880793410</t>
  </si>
  <si>
    <t>act-1779956514608</t>
  </si>
  <si>
    <t>act-1779961280172</t>
  </si>
  <si>
    <t>act-1779961343929</t>
  </si>
  <si>
    <t>act-1780305392280</t>
  </si>
  <si>
    <t>act-1780305790463</t>
  </si>
  <si>
    <t>act-1780305852197</t>
  </si>
  <si>
    <t>act-1780308979785</t>
  </si>
  <si>
    <t>act-1780309600503</t>
  </si>
  <si>
    <t>act-1780539513928</t>
  </si>
  <si>
    <t>act-1780561496748</t>
  </si>
  <si>
    <t>act-1781075115297</t>
  </si>
  <si>
    <t>act-1781083708599</t>
  </si>
  <si>
    <t>act-1781159006078</t>
  </si>
  <si>
    <t>act-1781159049473</t>
  </si>
  <si>
    <t>act-1781159066065</t>
  </si>
  <si>
    <t>act-1781163264037</t>
  </si>
  <si>
    <t>2026-06-11T07:34:21.124Z</t>
  </si>
  <si>
    <t>act-1781163279599</t>
  </si>
  <si>
    <t>2026-06-11T07:34:35.873Z</t>
  </si>
  <si>
    <t>act-1781163296815</t>
  </si>
  <si>
    <t>2026-06-11T07:34:50.223Z</t>
  </si>
  <si>
    <t>act-1781163344695</t>
  </si>
  <si>
    <t>2026-06-11T07:35:37.080Z</t>
  </si>
  <si>
    <t>act-1781163368350</t>
  </si>
  <si>
    <t>2026-06-11T07:36:05.270Z</t>
  </si>
  <si>
    <t>act-1781163409503</t>
  </si>
  <si>
    <t>2026-06-11T07:36:46.650Z</t>
  </si>
  <si>
    <t>act-1781163419288</t>
  </si>
  <si>
    <t>2026-06-11T07:36:57.390Z</t>
  </si>
  <si>
    <t>act-1781163430552</t>
  </si>
  <si>
    <t>2026-06-11T07:37:08.032Z</t>
  </si>
  <si>
    <t>act-1781163441332</t>
  </si>
  <si>
    <t>2026-06-11T07:37:19.308Z</t>
  </si>
  <si>
    <t>act-1781773161412</t>
  </si>
  <si>
    <t>act-1781775754896</t>
  </si>
  <si>
    <t>act-1781776424202</t>
  </si>
  <si>
    <t>act-1781776430998</t>
  </si>
  <si>
    <t>act-1781776724520</t>
  </si>
  <si>
    <t>act-1781837449983</t>
  </si>
  <si>
    <t>2026-06-19T02:50:48.294Z</t>
  </si>
  <si>
    <t>act-1781842917818</t>
  </si>
  <si>
    <t>act-1781842934373</t>
  </si>
  <si>
    <t>act-1781842952572</t>
  </si>
  <si>
    <t>act-1781842978321</t>
  </si>
  <si>
    <t>2026-06-19T04:22:54.988Z</t>
  </si>
  <si>
    <t>act-1781842991577</t>
  </si>
  <si>
    <t>act-1781843001647</t>
  </si>
  <si>
    <t>act-1781843010865</t>
  </si>
  <si>
    <t>act-1781843019912</t>
  </si>
  <si>
    <t>act-1781843031469</t>
  </si>
  <si>
    <t>act-1781843042671</t>
  </si>
  <si>
    <t>act-1782118327216</t>
  </si>
  <si>
    <t>act-1782118368694</t>
  </si>
  <si>
    <t>act-1782118447895</t>
  </si>
  <si>
    <t>act-1782183781267</t>
  </si>
  <si>
    <t>act-1782183959166</t>
  </si>
  <si>
    <t>act-1782183982866</t>
  </si>
  <si>
    <t>act-1782183987684</t>
  </si>
  <si>
    <t>act-1782272720833</t>
  </si>
  <si>
    <t>2026-06-24T03:45:17.788Z</t>
  </si>
  <si>
    <t>act-1782272740944</t>
  </si>
  <si>
    <t>2026-06-24T03:45:38.289Z</t>
  </si>
  <si>
    <t>act-1782272751112</t>
  </si>
  <si>
    <t>2026-06-24T03:45:48.303Z</t>
  </si>
  <si>
    <t>act-1782703191477</t>
  </si>
  <si>
    <t>act-1782712928573</t>
  </si>
  <si>
    <t>act-1782801964443</t>
  </si>
  <si>
    <t>act-1782802109826</t>
  </si>
  <si>
    <t>act-1782802501146</t>
  </si>
  <si>
    <t>2026-06-30T06:54:58.479Z</t>
  </si>
  <si>
    <t>act-1782802517480</t>
  </si>
  <si>
    <t>2026-06-30T06:55:13.718Z</t>
  </si>
  <si>
    <t>act-1782802553792</t>
  </si>
  <si>
    <t>2026-06-30T06:55:51.053Z</t>
  </si>
  <si>
    <t>act-1782959599461</t>
  </si>
  <si>
    <t>act-1782959614947</t>
  </si>
  <si>
    <t>act-1782959629441</t>
  </si>
  <si>
    <t>act-1782959644028</t>
  </si>
  <si>
    <t>act-1782959654957</t>
  </si>
  <si>
    <t>act-1782959668150</t>
  </si>
  <si>
    <t>act-1783305055852</t>
  </si>
  <si>
    <t>act-1783319731763</t>
  </si>
  <si>
    <t>act-1783324185464</t>
  </si>
  <si>
    <t>act-1783396521919</t>
  </si>
  <si>
    <t>act-1783482334473</t>
  </si>
  <si>
    <t>2026-08-07T03:45:30.733Z</t>
  </si>
  <si>
    <t>act-1783502554098</t>
  </si>
  <si>
    <t>act-1783665319368</t>
  </si>
  <si>
    <t>act-1783665961541</t>
  </si>
  <si>
    <t>act-1783997272299</t>
  </si>
  <si>
    <t>2026-07-14T02:47:49.066Z</t>
  </si>
  <si>
    <t>act-1783997370170</t>
  </si>
  <si>
    <t>2026-07-14T02:49:26.244Z</t>
  </si>
  <si>
    <t>act-1783997383308</t>
  </si>
  <si>
    <t>2026-08-14T02:49:40.597Z</t>
  </si>
  <si>
    <t>act-1783997397003</t>
  </si>
  <si>
    <t>2026-07-14T02:49:52.875Z</t>
  </si>
  <si>
    <t>act-1783997840213</t>
  </si>
  <si>
    <t>act-1783997859903</t>
  </si>
  <si>
    <t>2026-08-14T02:57:37.530Z</t>
  </si>
  <si>
    <t>act-1783997885492</t>
  </si>
  <si>
    <t>act-1783997907315</t>
  </si>
  <si>
    <t>act-1784194881109</t>
  </si>
  <si>
    <t>act-1784196484326</t>
  </si>
  <si>
    <t>act-1784196535352</t>
  </si>
  <si>
    <t>act-1784196588394</t>
  </si>
  <si>
    <t>act-1784620684709</t>
  </si>
  <si>
    <t>2026-07-21T07:58:01.664Z</t>
  </si>
  <si>
    <t>act-1784620698017</t>
  </si>
  <si>
    <t>2026-07-21T07:58:14.755Z</t>
  </si>
  <si>
    <t>act-1784626208450</t>
  </si>
  <si>
    <t>act-1784626225995</t>
  </si>
  <si>
    <t>act-1785124836413</t>
  </si>
  <si>
    <t>act-1785207647897</t>
  </si>
  <si>
    <t>act-1785298616471</t>
  </si>
  <si>
    <t>2026-07-29T04:16:53.807Z</t>
  </si>
  <si>
    <t>act-1785319379858</t>
  </si>
  <si>
    <t>act-1785380478532</t>
  </si>
  <si>
    <t>act-1785391291086</t>
  </si>
  <si>
    <t>act-1785391681848</t>
  </si>
  <si>
    <t>act-1785723809262</t>
  </si>
  <si>
    <t>act-1785811055108</t>
  </si>
  <si>
    <t>act-1785812133365</t>
  </si>
  <si>
    <t>2026-08-04T02:55:30.577Z</t>
  </si>
  <si>
    <t>act-1785812146861</t>
  </si>
  <si>
    <t>2026-08-04T02:55:42.965Z</t>
  </si>
  <si>
    <t>act-1785906525058</t>
  </si>
  <si>
    <t>act-1785906690792</t>
  </si>
  <si>
    <t>act-1785987026352</t>
  </si>
  <si>
    <t>2026-08-06T03:30:26.351Z</t>
  </si>
  <si>
    <t>act-1786010351756</t>
  </si>
  <si>
    <t>act-1786010749223</t>
  </si>
  <si>
    <t>act-1786010838169</t>
  </si>
  <si>
    <t>act-1786010906482</t>
  </si>
  <si>
    <t>act-1786010971568</t>
  </si>
  <si>
    <t>act-1786011068209</t>
  </si>
  <si>
    <t>2026-08-06T10:11:05.131Z</t>
  </si>
  <si>
    <t>act-1786011759622</t>
  </si>
  <si>
    <t>2026-08-06T10:22:34.899Z</t>
  </si>
  <si>
    <t>act-1786012383102</t>
  </si>
  <si>
    <t>act-1786069356672</t>
  </si>
  <si>
    <t>act-1786076865522</t>
  </si>
  <si>
    <t>2026-08-15T04:27:45.521Z</t>
  </si>
  <si>
    <t>act-1786081645065</t>
  </si>
  <si>
    <t>act-1786414189457</t>
  </si>
  <si>
    <t>act-1786414422627</t>
  </si>
  <si>
    <t>act-1786414762188</t>
  </si>
  <si>
    <t>act-1786434630187</t>
  </si>
  <si>
    <t>2026-08-11T07:50:25.739Z</t>
  </si>
  <si>
    <t>act-1786434644920</t>
  </si>
  <si>
    <t>2026-08-11T07:50:41.603Z</t>
  </si>
  <si>
    <t>act-1786434660452</t>
  </si>
  <si>
    <t>2026-08-11T07:50:58.123Z</t>
  </si>
  <si>
    <t>act-1786436518600</t>
  </si>
  <si>
    <t>act-1786436579468</t>
  </si>
  <si>
    <t>act-1786436594842</t>
  </si>
  <si>
    <t>act-1786436615839</t>
  </si>
  <si>
    <t>act-1786436629084</t>
  </si>
  <si>
    <t>act-1786436641531</t>
  </si>
  <si>
    <t>act-1786436657073</t>
  </si>
  <si>
    <t>act-1786436671724</t>
  </si>
  <si>
    <t>act-1786438943121</t>
  </si>
  <si>
    <t>act-1786439390882</t>
  </si>
  <si>
    <t>act-1787027493403</t>
  </si>
  <si>
    <t>act-1787028407790</t>
  </si>
  <si>
    <t>act-1787029044985</t>
  </si>
  <si>
    <t>act-1787029074861</t>
  </si>
  <si>
    <t>act-1787029093893</t>
  </si>
  <si>
    <t>act-1787029111565</t>
  </si>
  <si>
    <t>act-1787029167579</t>
  </si>
  <si>
    <t>act-1787113429687</t>
  </si>
  <si>
    <t>act-1787210880967</t>
  </si>
  <si>
    <t>2026-08-20T07:27:59.217Z</t>
  </si>
  <si>
    <t>act-1787210900766</t>
  </si>
  <si>
    <t>2026-08-20T07:28:19.216Z</t>
  </si>
  <si>
    <t>act-1787210914368</t>
  </si>
  <si>
    <t>2026-08-20T07:28:32.634Z</t>
  </si>
  <si>
    <t>act-1787210923647</t>
  </si>
  <si>
    <t>2026-08-20T07:28:41.048Z</t>
  </si>
  <si>
    <t>act-1787210938306</t>
  </si>
  <si>
    <t>2026-08-20T07:28:55.793Z</t>
  </si>
  <si>
    <t>act-1787210950540</t>
  </si>
  <si>
    <t>2026-08-20T07:29:08.933Z</t>
  </si>
  <si>
    <t>act-1787211490368</t>
  </si>
  <si>
    <t>act-1787211567427</t>
  </si>
  <si>
    <t>act-1787211580977</t>
  </si>
  <si>
    <t>act-1787211590722</t>
  </si>
  <si>
    <t>act-1787211600964</t>
  </si>
  <si>
    <t>act-1787211612090</t>
  </si>
  <si>
    <t>act-1787539475732</t>
  </si>
  <si>
    <t>act-1787543427928</t>
  </si>
  <si>
    <t>act-1787737271891</t>
  </si>
  <si>
    <t>act-1787737302737</t>
  </si>
  <si>
    <t>act-1787814991534</t>
  </si>
  <si>
    <t>act-1787815032868</t>
  </si>
  <si>
    <t>act-1787815071042</t>
  </si>
  <si>
    <t>act-1787890566433</t>
  </si>
  <si>
    <t>act-1788144519276</t>
  </si>
  <si>
    <t>2026-08-31T02:48:36.695Z</t>
  </si>
  <si>
    <t>act-1788144532216</t>
  </si>
  <si>
    <t>2026-08-31T02:48:48.461Z</t>
  </si>
  <si>
    <t>act-1788144542063</t>
  </si>
  <si>
    <t>2026-08-31T02:48:59.044Z</t>
  </si>
  <si>
    <t>act-1788145823532</t>
  </si>
  <si>
    <t>act-1788145839995</t>
  </si>
  <si>
    <t>act-1788145855739</t>
  </si>
  <si>
    <t>act-1788159870076</t>
  </si>
  <si>
    <t>act-1788159918636</t>
  </si>
  <si>
    <t>act-1788160093367</t>
  </si>
  <si>
    <t>act-1788160133161</t>
  </si>
  <si>
    <t>act-1788160150512</t>
  </si>
  <si>
    <t>act-1788160552332</t>
  </si>
  <si>
    <t>act-1788160643194</t>
  </si>
  <si>
    <t>act-1788160734458</t>
  </si>
  <si>
    <t>act-1788160826604</t>
  </si>
  <si>
    <t>act-1788166388907</t>
  </si>
  <si>
    <t>act-1788166404489</t>
  </si>
  <si>
    <t>act-1788166452797</t>
  </si>
  <si>
    <t>act-1788166466497</t>
  </si>
  <si>
    <t>act-1788166488519</t>
  </si>
  <si>
    <t>act-1788166536091</t>
  </si>
  <si>
    <t>act-1788166707535</t>
  </si>
  <si>
    <t>act-1788166707309</t>
  </si>
  <si>
    <t>act-1788230382450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</si>
</sst>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color rgb="FF030712"/>
      <name val="Arial"/>
    </font>
    <font>
      <u/>
      <color rgb="FF0000FF"/>
    </font>
    <font>
      <color rgb="FF030712"/>
      <name val="Ui-sans-seri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opphanai Phomphakdee" id="{5dbceff6-3a7f-4f4e-bba9-cc22b0b46b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6-06-16T08:53:25.00" personId="{5dbceff6-3a7f-4f4e-bba9-cc22b0b46b0d}" id="{e11ed814-4250-46f6-b2f5-e6406e5383db}" done="0">
    <x18tc:text xml:space="preserve">10/4 50 pcs
27/4 50 pcs</x18tc:text>
  </x18tc:threadedComment>
  <x18tc:threadedComment ref="E7" dT="2026-06-16T08:54:56.00" personId="{5dbceff6-3a7f-4f4e-bba9-cc22b0b46b0d}" id="{48735146-ba09-4af2-9072-fedf97a8d65c}" done="0">
    <x18tc:text xml:space="preserve">18/3</x18tc:text>
  </x18tc:threadedComment>
  <x18tc:threadedComment ref="E7" dT="2026-06-16T08:56:36.00" personId="{5dbceff6-3a7f-4f4e-bba9-cc22b0b46b0d}" id="{ee889117-caff-49c2-b595-55535ca62b1a}" parentId="{48735146-ba09-4af2-9072-fedf97a8d65c}">
    <x18tc:text xml:space="preserve">10/6</x18tc:text>
  </x18tc:threadedComment>
  <x18tc:threadedComment ref="E5" dT="2026-06-16T08:53:53.00" personId="{5dbceff6-3a7f-4f4e-bba9-cc22b0b46b0d}" id="{3eac7d59-4056-4a44-b9c4-6f32ec2a0b86}" done="0">
    <x18tc:text xml:space="preserve">24/3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jqbe2VQorLQKzhEa70kLjQAK8IUk7SRM" TargetMode="External"/><Relationship Id="rId2" Type="http://schemas.openxmlformats.org/officeDocument/2006/relationships/hyperlink" Target="https://drive.google.com/uc?id=1mGYB0oPqQFo3koTzQe1sBB2ytghlNPVQ" TargetMode="External"/><Relationship Id="rId3" Type="http://schemas.openxmlformats.org/officeDocument/2006/relationships/hyperlink" Target="https://drive.google.com/uc?id=164-A6eQqvFJ8STTJlC3td3iRSKbspTKA" TargetMode="External"/><Relationship Id="rId4" Type="http://schemas.openxmlformats.org/officeDocument/2006/relationships/hyperlink" Target="https://drive.google.com/uc?id=1ObA0rIgPSEiZtrqAul49v0r0EAaFv26e" TargetMode="External"/><Relationship Id="rId5" Type="http://schemas.openxmlformats.org/officeDocument/2006/relationships/hyperlink" Target="https://drive.google.com/uc?id=13U9QXzaW56b7drekeOZN2RrOiarFaTft" TargetMode="External"/><Relationship Id="rId6" Type="http://schemas.openxmlformats.org/officeDocument/2006/relationships/hyperlink" Target="https://drive.google.com/uc?id=1OKF2e1Rt7mP_J0eiuRSkTtDnZVTURAyO" TargetMode="External"/><Relationship Id="rId7" Type="http://schemas.openxmlformats.org/officeDocument/2006/relationships/hyperlink" Target="https://drive.google.com/uc?id=1LB2DirspdcFj0fHC3XZOU64VHvO3gJ6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id=1DO8XzALge_qHw41jw1x7ONsA2MYlMfIA" TargetMode="External"/><Relationship Id="rId20" Type="http://schemas.openxmlformats.org/officeDocument/2006/relationships/hyperlink" Target="https://drive.google.com/uc?id=1t2TaS9ce-8ua9gGAQk8HgWW3RFHazaiW" TargetMode="External"/><Relationship Id="rId41" Type="http://schemas.openxmlformats.org/officeDocument/2006/relationships/drawing" Target="../drawings/drawing8.xml"/><Relationship Id="rId22" Type="http://schemas.openxmlformats.org/officeDocument/2006/relationships/hyperlink" Target="https://drive.google.com/uc?id=1qqijUfFAH6ADv9MGBiYDknTjg3ObPsiy" TargetMode="External"/><Relationship Id="rId21" Type="http://schemas.openxmlformats.org/officeDocument/2006/relationships/hyperlink" Target="https://drive.google.com/uc?id=1-4v7SLrNEPvUClJiPX6fPbye7f-xe6hP" TargetMode="External"/><Relationship Id="rId24" Type="http://schemas.openxmlformats.org/officeDocument/2006/relationships/hyperlink" Target="https://drive.google.com/uc?id=1SjrjCqWIZ9xsY24MDwA6iHYnm4mmIvmX" TargetMode="External"/><Relationship Id="rId23" Type="http://schemas.openxmlformats.org/officeDocument/2006/relationships/hyperlink" Target="https://drive.google.com/uc?id=1B_KAX_feXQ3CMAmTpd2uBb5tYXEk6GM7" TargetMode="External"/><Relationship Id="rId1" Type="http://schemas.openxmlformats.org/officeDocument/2006/relationships/hyperlink" Target="https://drive.google.com/uc?id=1mGYB0oPqQFo3koTzQe1sBB2ytghlNPVQ" TargetMode="External"/><Relationship Id="rId2" Type="http://schemas.openxmlformats.org/officeDocument/2006/relationships/hyperlink" Target="https://drive.google.com/uc?id=1qpRx9mvqdJ1XJNAI5A1Yum-S1kehd3JT" TargetMode="External"/><Relationship Id="rId3" Type="http://schemas.openxmlformats.org/officeDocument/2006/relationships/hyperlink" Target="https://drive.google.com/uc?id=1AZ98F3nSd5kaWCpxmVUpcCCqiN98wEJw" TargetMode="External"/><Relationship Id="rId4" Type="http://schemas.openxmlformats.org/officeDocument/2006/relationships/hyperlink" Target="https://drive.google.com/uc?id=1hkA1erHwgR0y9yNCPITVTAuQCOTRyx9S" TargetMode="External"/><Relationship Id="rId9" Type="http://schemas.openxmlformats.org/officeDocument/2006/relationships/hyperlink" Target="https://drive.google.com/uc?id=1jqbe2VQorLQKzhEa70kLjQAK8IUk7SRM" TargetMode="External"/><Relationship Id="rId26" Type="http://schemas.openxmlformats.org/officeDocument/2006/relationships/hyperlink" Target="https://drive.google.com/uc?id=1jmqc8j3ZTxA2splfDuZQj9H-NutS5jY1" TargetMode="External"/><Relationship Id="rId25" Type="http://schemas.openxmlformats.org/officeDocument/2006/relationships/hyperlink" Target="https://drive.google.com/uc?id=1kOKWOoaNPcNH9Ken9EcAs_gXj79RY2WY" TargetMode="External"/><Relationship Id="rId28" Type="http://schemas.openxmlformats.org/officeDocument/2006/relationships/hyperlink" Target="https://drive.google.com/uc?id=10QLgb3n0xzBQ_jM_-pwndcbwkLbI71uf" TargetMode="External"/><Relationship Id="rId27" Type="http://schemas.openxmlformats.org/officeDocument/2006/relationships/hyperlink" Target="https://drive.google.com/uc?id=1VszHSBFpeyl0E85KtcFgbOUmlO2DU0kK" TargetMode="External"/><Relationship Id="rId5" Type="http://schemas.openxmlformats.org/officeDocument/2006/relationships/hyperlink" Target="https://drive.google.com/uc?id=1tuoXVXQvPsrEsQKVCgcgMSjemrSfN0qU" TargetMode="External"/><Relationship Id="rId6" Type="http://schemas.openxmlformats.org/officeDocument/2006/relationships/hyperlink" Target="https://drive.google.com/uc?id=1ObA0rIgPSEiZtrqAul49v0r0EAaFv26e" TargetMode="External"/><Relationship Id="rId29" Type="http://schemas.openxmlformats.org/officeDocument/2006/relationships/hyperlink" Target="https://drive.google.com/uc?id=1HoAmxwlbdl1qPnJK8xZ0qQ21QzOFtpON" TargetMode="External"/><Relationship Id="rId7" Type="http://schemas.openxmlformats.org/officeDocument/2006/relationships/hyperlink" Target="https://drive.google.com/uc?id=1zYF1oMDsGQ3SddvFHwy7669xUcjiamsj" TargetMode="External"/><Relationship Id="rId8" Type="http://schemas.openxmlformats.org/officeDocument/2006/relationships/hyperlink" Target="https://drive.google.com/uc?id=1nWLOttjR5tBJbmtTx7xcsifZkj6NBZbu" TargetMode="External"/><Relationship Id="rId31" Type="http://schemas.openxmlformats.org/officeDocument/2006/relationships/hyperlink" Target="https://drive.google.com/uc?id=13U9QXzaW56b7drekeOZN2RrOiarFaTft" TargetMode="External"/><Relationship Id="rId30" Type="http://schemas.openxmlformats.org/officeDocument/2006/relationships/hyperlink" Target="https://drive.google.com/uc?id=1OKF2e1Rt7mP_J0eiuRSkTtDnZVTURAyO" TargetMode="External"/><Relationship Id="rId11" Type="http://schemas.openxmlformats.org/officeDocument/2006/relationships/hyperlink" Target="https://drive.google.com/uc?id=1BMRMe8whaL7XGIF_DnQPbYYIA_rozwqL" TargetMode="External"/><Relationship Id="rId33" Type="http://schemas.openxmlformats.org/officeDocument/2006/relationships/hyperlink" Target="https://drive.google.com/uc?id=1KzZVez0d54XupruCjZCffgSVHrpxR2RS" TargetMode="External"/><Relationship Id="rId10" Type="http://schemas.openxmlformats.org/officeDocument/2006/relationships/hyperlink" Target="https://drive.google.com/uc?id=1iWhKjJRgOH7D1KyVmgx82NI1UeCB23Jk" TargetMode="External"/><Relationship Id="rId32" Type="http://schemas.openxmlformats.org/officeDocument/2006/relationships/hyperlink" Target="https://drive.google.com/uc?id=1MqGx01AlFXDu7QUlfLME61Lq2FSy3nyF" TargetMode="External"/><Relationship Id="rId13" Type="http://schemas.openxmlformats.org/officeDocument/2006/relationships/hyperlink" Target="https://drive.google.com/uc?id=1JA3jDowJbg5HiXKUurIrtPa7hQGnGDe3" TargetMode="External"/><Relationship Id="rId35" Type="http://schemas.openxmlformats.org/officeDocument/2006/relationships/hyperlink" Target="https://drive.google.com/uc?id=1oz22cD3LXJjbwdf5HjmMvZSseCIFieCW" TargetMode="External"/><Relationship Id="rId12" Type="http://schemas.openxmlformats.org/officeDocument/2006/relationships/hyperlink" Target="https://drive.google.com/uc?id=1yFnX4ALjzaH-hxAqslLLwl6y8PAC_1hN" TargetMode="External"/><Relationship Id="rId34" Type="http://schemas.openxmlformats.org/officeDocument/2006/relationships/hyperlink" Target="https://drive.google.com/uc?id=164-A6eQqvFJ8STTJlC3td3iRSKbspTKA" TargetMode="External"/><Relationship Id="rId15" Type="http://schemas.openxmlformats.org/officeDocument/2006/relationships/hyperlink" Target="https://drive.google.com/uc?id=1r-Zr9Edb8KyiiaQGiCyKMeLcjDhIy-FZ" TargetMode="External"/><Relationship Id="rId37" Type="http://schemas.openxmlformats.org/officeDocument/2006/relationships/hyperlink" Target="https://drive.google.com/uc?id=1w6mrynZYYoq6YH-slIL1rXVv2ux-bKe-" TargetMode="External"/><Relationship Id="rId14" Type="http://schemas.openxmlformats.org/officeDocument/2006/relationships/hyperlink" Target="https://drive.google.com/uc?id=1H6EVkRSnmbqyM8KqpItX-vFRc7irv95Y" TargetMode="External"/><Relationship Id="rId36" Type="http://schemas.openxmlformats.org/officeDocument/2006/relationships/hyperlink" Target="https://drive.google.com/uc?id=1LB2DirspdcFj0fHC3XZOU64VHvO3gJ6M" TargetMode="External"/><Relationship Id="rId17" Type="http://schemas.openxmlformats.org/officeDocument/2006/relationships/hyperlink" Target="https://drive.google.com/uc?id=1mXXihwsoRwCRyM9ziyKJ10x6lIkLE5ZC" TargetMode="External"/><Relationship Id="rId39" Type="http://schemas.openxmlformats.org/officeDocument/2006/relationships/hyperlink" Target="https://drive.google.com/uc?id=18RNb3orfnwjRMeobW3v-OG3QH9A3PKzy" TargetMode="External"/><Relationship Id="rId16" Type="http://schemas.openxmlformats.org/officeDocument/2006/relationships/hyperlink" Target="https://drive.google.com/uc?id=1jrBkVokkLjt9eii6OhsjnU1mTsBSKVlZ" TargetMode="External"/><Relationship Id="rId38" Type="http://schemas.openxmlformats.org/officeDocument/2006/relationships/hyperlink" Target="https://drive.google.com/uc?id=1z9O4vnsWmlazf9clvYNlfXnb8bgrZQ0x" TargetMode="External"/><Relationship Id="rId19" Type="http://schemas.openxmlformats.org/officeDocument/2006/relationships/hyperlink" Target="https://drive.google.com/uc?id=1LeUkceG5HJa8ynzswjzv4qUS9AyypgmF" TargetMode="External"/><Relationship Id="rId18" Type="http://schemas.openxmlformats.org/officeDocument/2006/relationships/hyperlink" Target="https://drive.google.com/uc?id=1PYa4rPfMVPMkt-V6AorH8ZFccqcbDfP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8.13"/>
    <col customWidth="1" min="3" max="3" width="12.25"/>
    <col customWidth="1" min="4" max="4" width="14.0"/>
    <col customWidth="1" min="5" max="5" width="23.25"/>
    <col customWidth="1" min="6" max="6" width="14.25"/>
    <col customWidth="1" min="7" max="7" width="6.75"/>
  </cols>
  <sheetData>
    <row r="1">
      <c r="A1" s="1" t="s">
        <v>0</v>
      </c>
      <c r="B1" s="1" t="s">
        <v>4</v>
      </c>
      <c r="C1" s="1" t="s">
        <v>5</v>
      </c>
      <c r="D1" s="1" t="s">
        <v>7</v>
      </c>
      <c r="E1" s="1" t="s">
        <v>10</v>
      </c>
      <c r="F1" s="1" t="s">
        <v>12</v>
      </c>
      <c r="G1" s="1" t="s">
        <v>14</v>
      </c>
    </row>
    <row r="2">
      <c r="A2" s="1" t="s">
        <v>17</v>
      </c>
      <c r="B2" s="3" t="s">
        <v>20</v>
      </c>
      <c r="C2" s="1" t="s">
        <v>35</v>
      </c>
      <c r="D2" s="1" t="s">
        <v>36</v>
      </c>
      <c r="E2" s="5" t="s">
        <v>40</v>
      </c>
      <c r="F2" s="1" t="s">
        <v>43</v>
      </c>
      <c r="G2" s="1" t="s">
        <v>44</v>
      </c>
    </row>
    <row r="3">
      <c r="A3" s="1" t="s">
        <v>45</v>
      </c>
      <c r="B3" s="7" t="s">
        <v>46</v>
      </c>
      <c r="C3" s="1" t="s">
        <v>35</v>
      </c>
      <c r="D3" s="1" t="s">
        <v>36</v>
      </c>
      <c r="E3" s="5" t="s">
        <v>51</v>
      </c>
      <c r="F3" s="1" t="s">
        <v>43</v>
      </c>
      <c r="G3" s="1" t="s">
        <v>44</v>
      </c>
    </row>
    <row r="4">
      <c r="A4" s="1" t="s">
        <v>54</v>
      </c>
      <c r="B4" s="7" t="s">
        <v>55</v>
      </c>
      <c r="C4" s="1" t="s">
        <v>35</v>
      </c>
      <c r="D4" s="1" t="s">
        <v>36</v>
      </c>
      <c r="E4" s="5" t="s">
        <v>57</v>
      </c>
      <c r="F4" s="1" t="s">
        <v>43</v>
      </c>
      <c r="G4" s="1" t="s">
        <v>44</v>
      </c>
    </row>
    <row r="5">
      <c r="A5" s="1" t="s">
        <v>59</v>
      </c>
      <c r="B5" s="7" t="s">
        <v>60</v>
      </c>
      <c r="C5" s="1" t="s">
        <v>35</v>
      </c>
      <c r="D5" s="1" t="s">
        <v>61</v>
      </c>
      <c r="E5" s="5" t="s">
        <v>62</v>
      </c>
      <c r="F5" s="1" t="s">
        <v>63</v>
      </c>
      <c r="G5" s="1" t="s">
        <v>44</v>
      </c>
    </row>
    <row r="6">
      <c r="A6" s="1" t="s">
        <v>66</v>
      </c>
      <c r="B6" s="7" t="s">
        <v>67</v>
      </c>
      <c r="C6" s="1" t="s">
        <v>35</v>
      </c>
      <c r="D6" s="1" t="s">
        <v>61</v>
      </c>
      <c r="E6" s="5" t="s">
        <v>69</v>
      </c>
      <c r="F6" s="1" t="s">
        <v>63</v>
      </c>
      <c r="G6" s="1" t="s">
        <v>44</v>
      </c>
    </row>
    <row r="7">
      <c r="A7" s="1" t="s">
        <v>71</v>
      </c>
      <c r="B7" s="7" t="s">
        <v>73</v>
      </c>
      <c r="C7" s="1" t="s">
        <v>35</v>
      </c>
      <c r="D7" s="1" t="s">
        <v>74</v>
      </c>
      <c r="E7" s="5" t="s">
        <v>75</v>
      </c>
      <c r="F7" s="1" t="s">
        <v>43</v>
      </c>
      <c r="G7" s="1" t="s">
        <v>44</v>
      </c>
    </row>
    <row r="8">
      <c r="A8" s="1" t="s">
        <v>77</v>
      </c>
      <c r="B8" s="7" t="s">
        <v>79</v>
      </c>
      <c r="C8" s="1" t="s">
        <v>35</v>
      </c>
      <c r="D8" s="8" t="s">
        <v>36</v>
      </c>
      <c r="E8" s="5" t="s">
        <v>82</v>
      </c>
      <c r="F8" s="1" t="s">
        <v>43</v>
      </c>
      <c r="G8" s="1" t="s">
        <v>44</v>
      </c>
    </row>
    <row r="9">
      <c r="A9" s="1" t="s">
        <v>85</v>
      </c>
      <c r="B9" s="5" t="s">
        <v>87</v>
      </c>
      <c r="C9" s="1" t="s">
        <v>35</v>
      </c>
      <c r="D9" s="1" t="s">
        <v>88</v>
      </c>
      <c r="E9" s="5" t="s">
        <v>89</v>
      </c>
      <c r="F9" s="1" t="s">
        <v>43</v>
      </c>
      <c r="G9" s="1" t="s">
        <v>44</v>
      </c>
    </row>
    <row r="10">
      <c r="A10" s="1" t="s">
        <v>90</v>
      </c>
      <c r="B10" s="7" t="s">
        <v>91</v>
      </c>
      <c r="C10" s="1" t="s">
        <v>35</v>
      </c>
      <c r="D10" s="1" t="s">
        <v>74</v>
      </c>
      <c r="E10" s="5" t="s">
        <v>93</v>
      </c>
      <c r="F10" s="1" t="s">
        <v>43</v>
      </c>
      <c r="G10" s="1" t="s">
        <v>44</v>
      </c>
    </row>
    <row r="11">
      <c r="A11" s="1" t="s">
        <v>95</v>
      </c>
      <c r="B11" s="1" t="s">
        <v>96</v>
      </c>
      <c r="C11" s="1" t="s">
        <v>35</v>
      </c>
      <c r="D11" s="1" t="s">
        <v>36</v>
      </c>
      <c r="E11" s="1" t="s">
        <v>97</v>
      </c>
      <c r="F11" s="1" t="s">
        <v>74</v>
      </c>
      <c r="G11" s="1" t="s">
        <v>44</v>
      </c>
    </row>
    <row r="12">
      <c r="A12" s="1" t="s">
        <v>99</v>
      </c>
      <c r="B12" s="1" t="s">
        <v>100</v>
      </c>
      <c r="C12" s="1" t="s">
        <v>35</v>
      </c>
      <c r="D12" s="1" t="s">
        <v>36</v>
      </c>
      <c r="E12" s="1" t="s">
        <v>50</v>
      </c>
      <c r="F12" s="1" t="s">
        <v>101</v>
      </c>
      <c r="G12" s="1" t="s">
        <v>44</v>
      </c>
    </row>
    <row r="13">
      <c r="A13" s="1" t="s">
        <v>103</v>
      </c>
      <c r="B13" s="1" t="s">
        <v>104</v>
      </c>
      <c r="C13" s="1">
        <v>1234.0</v>
      </c>
      <c r="D13" s="1" t="s">
        <v>105</v>
      </c>
      <c r="E13" s="1" t="s">
        <v>107</v>
      </c>
      <c r="F13" s="1" t="s">
        <v>43</v>
      </c>
      <c r="G13" s="1" t="s">
        <v>44</v>
      </c>
    </row>
    <row r="14">
      <c r="A14" s="1" t="s">
        <v>109</v>
      </c>
      <c r="B14" s="1" t="s">
        <v>110</v>
      </c>
      <c r="C14" s="1" t="s">
        <v>35</v>
      </c>
      <c r="D14" s="10" t="s">
        <v>113</v>
      </c>
      <c r="E14" s="1" t="s">
        <v>115</v>
      </c>
      <c r="F14" s="1" t="s">
        <v>43</v>
      </c>
      <c r="G14" s="1" t="s">
        <v>44</v>
      </c>
    </row>
    <row r="15">
      <c r="A15" s="1" t="s">
        <v>118</v>
      </c>
      <c r="B15" s="1" t="s">
        <v>119</v>
      </c>
      <c r="C15" s="1" t="s">
        <v>35</v>
      </c>
      <c r="D15" s="1" t="s">
        <v>120</v>
      </c>
      <c r="E15" s="1" t="s">
        <v>121</v>
      </c>
      <c r="F15" s="1" t="s">
        <v>123</v>
      </c>
      <c r="G15" s="1" t="s">
        <v>44</v>
      </c>
    </row>
    <row r="16">
      <c r="A16" s="1" t="s">
        <v>124</v>
      </c>
      <c r="B16" s="1" t="s">
        <v>125</v>
      </c>
      <c r="C16" s="1" t="s">
        <v>126</v>
      </c>
      <c r="D16" s="1" t="s">
        <v>127</v>
      </c>
      <c r="E16" s="1" t="s">
        <v>128</v>
      </c>
      <c r="F16" s="1" t="s">
        <v>127</v>
      </c>
      <c r="G16" s="1" t="s">
        <v>44</v>
      </c>
    </row>
    <row r="17">
      <c r="A17" s="1" t="s">
        <v>130</v>
      </c>
      <c r="B17" s="1" t="s">
        <v>131</v>
      </c>
      <c r="C17" s="1" t="s">
        <v>126</v>
      </c>
      <c r="D17" s="1" t="s">
        <v>133</v>
      </c>
      <c r="E17" s="1" t="s">
        <v>134</v>
      </c>
      <c r="F17" s="1" t="s">
        <v>133</v>
      </c>
      <c r="G17" s="1" t="s">
        <v>44</v>
      </c>
    </row>
    <row r="18">
      <c r="A18" s="1" t="s">
        <v>137</v>
      </c>
      <c r="B18" s="1" t="s">
        <v>138</v>
      </c>
      <c r="C18" s="1">
        <v>1.1223344E7</v>
      </c>
      <c r="D18" s="1" t="s">
        <v>139</v>
      </c>
      <c r="E18" s="1" t="s">
        <v>140</v>
      </c>
      <c r="F18" s="1" t="s">
        <v>50</v>
      </c>
      <c r="G18" s="1" t="s">
        <v>44</v>
      </c>
    </row>
    <row r="19">
      <c r="A19" s="1" t="s">
        <v>143</v>
      </c>
      <c r="B19" s="1" t="s">
        <v>145</v>
      </c>
      <c r="C19" s="1">
        <v>1.1223344E7</v>
      </c>
      <c r="D19" s="1" t="s">
        <v>139</v>
      </c>
      <c r="E19" s="1" t="s">
        <v>147</v>
      </c>
      <c r="F19" s="1" t="s">
        <v>50</v>
      </c>
      <c r="G19" s="1" t="s">
        <v>44</v>
      </c>
    </row>
    <row r="20">
      <c r="A20" s="1" t="s">
        <v>149</v>
      </c>
      <c r="B20" s="1" t="s">
        <v>150</v>
      </c>
      <c r="C20" s="1">
        <v>1.1223344E7</v>
      </c>
      <c r="D20" s="1" t="s">
        <v>139</v>
      </c>
      <c r="E20" s="1" t="s">
        <v>112</v>
      </c>
      <c r="F20" s="1" t="s">
        <v>50</v>
      </c>
      <c r="G20" s="1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6.75"/>
  </cols>
  <sheetData>
    <row r="1">
      <c r="A1" s="1" t="s">
        <v>1</v>
      </c>
      <c r="B1" s="1" t="s">
        <v>8</v>
      </c>
      <c r="C1" s="1" t="s">
        <v>11</v>
      </c>
      <c r="D1" s="1" t="s">
        <v>15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26</v>
      </c>
      <c r="J1" s="1" t="s">
        <v>29</v>
      </c>
      <c r="K1" s="1" t="s">
        <v>30</v>
      </c>
    </row>
    <row r="2">
      <c r="A2" s="1" t="s">
        <v>33</v>
      </c>
      <c r="B2" s="1" t="s">
        <v>34</v>
      </c>
      <c r="C2" s="1" t="s">
        <v>38</v>
      </c>
      <c r="D2" s="1" t="s">
        <v>39</v>
      </c>
      <c r="E2" s="4">
        <v>100.0</v>
      </c>
      <c r="F2" s="4">
        <v>100.0</v>
      </c>
      <c r="G2" s="4">
        <v>100.0</v>
      </c>
      <c r="H2" s="4">
        <v>1.0</v>
      </c>
      <c r="I2" s="4">
        <v>445000.0</v>
      </c>
      <c r="J2" s="9" t="s">
        <v>48</v>
      </c>
      <c r="K2" s="6">
        <v>46216.0</v>
      </c>
    </row>
    <row r="3">
      <c r="A3" s="1" t="s">
        <v>56</v>
      </c>
      <c r="B3" s="1" t="s">
        <v>58</v>
      </c>
      <c r="C3" s="1" t="s">
        <v>38</v>
      </c>
      <c r="D3" s="1" t="s">
        <v>39</v>
      </c>
      <c r="E3" s="4">
        <v>1500.0</v>
      </c>
      <c r="F3" s="1">
        <v>1097.0</v>
      </c>
      <c r="G3" s="4">
        <v>1500.0</v>
      </c>
      <c r="H3" s="4">
        <v>10.0</v>
      </c>
      <c r="I3" s="4">
        <v>5000.0</v>
      </c>
      <c r="J3" s="9" t="s">
        <v>114</v>
      </c>
      <c r="K3" s="6">
        <v>46216.0</v>
      </c>
    </row>
    <row r="4">
      <c r="A4" s="1" t="s">
        <v>70</v>
      </c>
      <c r="B4" s="1" t="s">
        <v>72</v>
      </c>
      <c r="C4" s="1" t="s">
        <v>38</v>
      </c>
      <c r="D4" s="1" t="s">
        <v>156</v>
      </c>
      <c r="E4" s="4">
        <v>500.0</v>
      </c>
      <c r="F4" s="4">
        <v>499.0</v>
      </c>
      <c r="G4" s="4">
        <v>500.0</v>
      </c>
      <c r="H4" s="4">
        <v>20.0</v>
      </c>
      <c r="I4" s="4">
        <v>55000.0</v>
      </c>
      <c r="J4" s="9" t="s">
        <v>161</v>
      </c>
      <c r="K4" s="6">
        <v>46216.0</v>
      </c>
    </row>
    <row r="5">
      <c r="A5" s="1" t="s">
        <v>81</v>
      </c>
      <c r="B5" s="1" t="s">
        <v>83</v>
      </c>
      <c r="C5" s="1" t="s">
        <v>38</v>
      </c>
      <c r="D5" s="1" t="s">
        <v>39</v>
      </c>
      <c r="E5" s="4">
        <v>200.0</v>
      </c>
      <c r="F5" s="4">
        <v>199.0</v>
      </c>
      <c r="G5" s="4">
        <v>200.0</v>
      </c>
      <c r="H5" s="4">
        <v>10.0</v>
      </c>
      <c r="I5" s="4">
        <v>84000.0</v>
      </c>
      <c r="J5" s="9" t="s">
        <v>179</v>
      </c>
      <c r="K5" s="6">
        <v>46216.0</v>
      </c>
    </row>
    <row r="6">
      <c r="A6" s="1" t="s">
        <v>92</v>
      </c>
      <c r="B6" s="1" t="s">
        <v>94</v>
      </c>
      <c r="C6" s="1" t="s">
        <v>38</v>
      </c>
      <c r="D6" s="1" t="s">
        <v>190</v>
      </c>
      <c r="E6" s="4">
        <v>300.0</v>
      </c>
      <c r="F6" s="4">
        <v>300.0</v>
      </c>
      <c r="G6" s="4">
        <v>300.0</v>
      </c>
      <c r="H6" s="4">
        <v>30.0</v>
      </c>
      <c r="I6" s="4">
        <v>73000.0</v>
      </c>
      <c r="J6" s="9" t="s">
        <v>191</v>
      </c>
      <c r="K6" s="6">
        <v>46216.0</v>
      </c>
    </row>
    <row r="7">
      <c r="A7" s="1" t="s">
        <v>116</v>
      </c>
      <c r="B7" s="1" t="s">
        <v>117</v>
      </c>
      <c r="C7" s="1" t="s">
        <v>38</v>
      </c>
      <c r="D7" s="1" t="s">
        <v>198</v>
      </c>
      <c r="E7" s="4">
        <v>5.0</v>
      </c>
      <c r="F7" s="4">
        <v>5.0</v>
      </c>
      <c r="G7" s="4">
        <v>5.0</v>
      </c>
      <c r="H7" s="4">
        <v>3.0</v>
      </c>
      <c r="I7" s="4">
        <v>518000.0</v>
      </c>
      <c r="K7" s="6">
        <v>46219.0</v>
      </c>
    </row>
    <row r="8">
      <c r="A8" s="1" t="s">
        <v>129</v>
      </c>
      <c r="B8" s="1" t="s">
        <v>108</v>
      </c>
      <c r="C8" s="1" t="s">
        <v>38</v>
      </c>
      <c r="D8" s="1" t="s">
        <v>198</v>
      </c>
      <c r="E8" s="4">
        <v>5.0</v>
      </c>
      <c r="F8" s="4">
        <v>5.0</v>
      </c>
      <c r="G8" s="4">
        <v>5.0</v>
      </c>
      <c r="H8" s="4">
        <v>3.0</v>
      </c>
      <c r="I8" s="4">
        <v>518000.0</v>
      </c>
      <c r="K8" s="6">
        <v>46219.0</v>
      </c>
    </row>
    <row r="9">
      <c r="A9" s="1" t="s">
        <v>142</v>
      </c>
      <c r="B9" s="1" t="s">
        <v>144</v>
      </c>
      <c r="C9" s="1" t="s">
        <v>38</v>
      </c>
      <c r="D9" s="1" t="s">
        <v>198</v>
      </c>
      <c r="E9" s="4">
        <v>7.0</v>
      </c>
      <c r="F9" s="4">
        <v>6.0</v>
      </c>
      <c r="G9" s="4">
        <v>7.0</v>
      </c>
      <c r="H9" s="4">
        <v>4.0</v>
      </c>
      <c r="I9" s="4">
        <v>311000.0</v>
      </c>
      <c r="K9" s="6">
        <v>46219.0</v>
      </c>
    </row>
    <row r="10">
      <c r="A10" s="1" t="s">
        <v>157</v>
      </c>
      <c r="B10" s="1" t="s">
        <v>158</v>
      </c>
      <c r="C10" s="1" t="s">
        <v>38</v>
      </c>
      <c r="D10" s="1" t="s">
        <v>198</v>
      </c>
      <c r="E10" s="4">
        <v>1.0</v>
      </c>
      <c r="F10" s="4">
        <v>0.0</v>
      </c>
      <c r="G10" s="4">
        <v>1.0</v>
      </c>
      <c r="H10" s="4">
        <v>0.0</v>
      </c>
      <c r="I10" s="4">
        <v>311000.0</v>
      </c>
      <c r="K10" s="6">
        <v>46219.0</v>
      </c>
    </row>
    <row r="11">
      <c r="A11" s="1" t="s">
        <v>163</v>
      </c>
      <c r="B11" s="1" t="s">
        <v>164</v>
      </c>
      <c r="C11" s="1" t="s">
        <v>200</v>
      </c>
      <c r="D11" s="1" t="s">
        <v>201</v>
      </c>
      <c r="E11" s="4">
        <v>50.0</v>
      </c>
      <c r="F11" s="4">
        <v>50.0</v>
      </c>
      <c r="G11" s="4">
        <v>50.0</v>
      </c>
      <c r="H11" s="4">
        <v>100.0</v>
      </c>
      <c r="I11" s="4">
        <v>12000.0</v>
      </c>
      <c r="J11" s="9" t="s">
        <v>203</v>
      </c>
      <c r="K11" s="6">
        <v>46224.0</v>
      </c>
    </row>
    <row r="12">
      <c r="A12" s="1" t="s">
        <v>186</v>
      </c>
      <c r="B12" s="1" t="s">
        <v>187</v>
      </c>
      <c r="C12" s="1" t="s">
        <v>38</v>
      </c>
      <c r="D12" s="1" t="s">
        <v>201</v>
      </c>
      <c r="E12" s="4">
        <v>50.0</v>
      </c>
      <c r="F12" s="4">
        <v>50.0</v>
      </c>
      <c r="G12" s="4">
        <v>50.0</v>
      </c>
      <c r="H12" s="4">
        <v>500.0</v>
      </c>
      <c r="I12" s="4">
        <v>7000.0</v>
      </c>
      <c r="J12" s="9" t="s">
        <v>205</v>
      </c>
      <c r="K12" s="6">
        <v>46245.0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11"/>
    <hyperlink r:id="rId7" ref="J1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9.88"/>
    <col customWidth="1" min="8" max="8" width="21.25"/>
    <col customWidth="1" min="9" max="9" width="20.25"/>
    <col customWidth="1" min="10" max="10" width="46.5"/>
  </cols>
  <sheetData>
    <row r="1">
      <c r="A1" s="1" t="s">
        <v>3</v>
      </c>
      <c r="B1" s="1" t="s">
        <v>9</v>
      </c>
      <c r="C1" s="1" t="s">
        <v>1</v>
      </c>
      <c r="D1" s="1" t="s">
        <v>13</v>
      </c>
      <c r="E1" s="1" t="s">
        <v>16</v>
      </c>
      <c r="F1" s="1" t="s">
        <v>19</v>
      </c>
      <c r="G1" s="1" t="s">
        <v>22</v>
      </c>
      <c r="H1" s="1" t="s">
        <v>24</v>
      </c>
      <c r="I1" s="1" t="s">
        <v>27</v>
      </c>
      <c r="J1" s="1" t="s">
        <v>28</v>
      </c>
    </row>
    <row r="2">
      <c r="B2" s="1" t="s">
        <v>31</v>
      </c>
      <c r="C2" s="1" t="s">
        <v>33</v>
      </c>
      <c r="D2" s="1" t="s">
        <v>34</v>
      </c>
      <c r="E2" s="4">
        <v>100.0</v>
      </c>
      <c r="F2" s="1" t="s">
        <v>41</v>
      </c>
      <c r="G2" s="6">
        <v>46216.0</v>
      </c>
      <c r="H2" s="1" t="s">
        <v>49</v>
      </c>
      <c r="I2" s="1" t="s">
        <v>50</v>
      </c>
      <c r="J2" s="1" t="s">
        <v>52</v>
      </c>
    </row>
    <row r="3">
      <c r="B3" s="1" t="s">
        <v>31</v>
      </c>
      <c r="C3" s="1" t="s">
        <v>56</v>
      </c>
      <c r="D3" s="1" t="s">
        <v>58</v>
      </c>
      <c r="E3" s="4">
        <v>1500.0</v>
      </c>
      <c r="F3" s="1" t="s">
        <v>41</v>
      </c>
      <c r="G3" s="6">
        <v>46216.0</v>
      </c>
      <c r="H3" s="1" t="s">
        <v>64</v>
      </c>
      <c r="I3" s="1" t="s">
        <v>50</v>
      </c>
      <c r="J3" s="1" t="s">
        <v>52</v>
      </c>
    </row>
    <row r="4">
      <c r="B4" s="1" t="s">
        <v>31</v>
      </c>
      <c r="C4" s="1" t="s">
        <v>70</v>
      </c>
      <c r="D4" s="1" t="s">
        <v>72</v>
      </c>
      <c r="E4" s="4">
        <v>500.0</v>
      </c>
      <c r="F4" s="1" t="s">
        <v>41</v>
      </c>
      <c r="G4" s="6">
        <v>46216.0</v>
      </c>
      <c r="H4" s="1" t="s">
        <v>76</v>
      </c>
      <c r="I4" s="1" t="s">
        <v>50</v>
      </c>
      <c r="J4" s="1" t="s">
        <v>52</v>
      </c>
    </row>
    <row r="5">
      <c r="B5" s="1" t="s">
        <v>31</v>
      </c>
      <c r="C5" s="1" t="s">
        <v>81</v>
      </c>
      <c r="D5" s="1" t="s">
        <v>83</v>
      </c>
      <c r="E5" s="4">
        <v>200.0</v>
      </c>
      <c r="F5" s="1" t="s">
        <v>41</v>
      </c>
      <c r="G5" s="6">
        <v>46216.0</v>
      </c>
      <c r="H5" s="1" t="s">
        <v>86</v>
      </c>
      <c r="I5" s="1" t="s">
        <v>50</v>
      </c>
      <c r="J5" s="1" t="s">
        <v>52</v>
      </c>
    </row>
    <row r="6">
      <c r="B6" s="1" t="s">
        <v>31</v>
      </c>
      <c r="C6" s="1" t="s">
        <v>92</v>
      </c>
      <c r="D6" s="1" t="s">
        <v>94</v>
      </c>
      <c r="E6" s="4">
        <v>300.0</v>
      </c>
      <c r="F6" s="1" t="s">
        <v>41</v>
      </c>
      <c r="G6" s="6">
        <v>46216.0</v>
      </c>
      <c r="H6" s="1" t="s">
        <v>98</v>
      </c>
      <c r="I6" s="1" t="s">
        <v>50</v>
      </c>
      <c r="J6" s="1" t="s">
        <v>52</v>
      </c>
    </row>
    <row r="7">
      <c r="B7" s="1" t="s">
        <v>31</v>
      </c>
      <c r="C7" s="1" t="s">
        <v>106</v>
      </c>
      <c r="D7" s="1" t="s">
        <v>108</v>
      </c>
      <c r="E7" s="4">
        <v>5.0</v>
      </c>
      <c r="F7" s="1" t="s">
        <v>41</v>
      </c>
      <c r="G7" s="6">
        <v>46219.0</v>
      </c>
      <c r="H7" s="1" t="s">
        <v>111</v>
      </c>
      <c r="I7" s="1" t="s">
        <v>112</v>
      </c>
      <c r="J7" s="1" t="s">
        <v>52</v>
      </c>
    </row>
    <row r="8">
      <c r="B8" s="1" t="s">
        <v>31</v>
      </c>
      <c r="C8" s="1" t="s">
        <v>116</v>
      </c>
      <c r="D8" s="1" t="s">
        <v>117</v>
      </c>
      <c r="E8" s="4">
        <v>5.0</v>
      </c>
      <c r="F8" s="1" t="s">
        <v>41</v>
      </c>
      <c r="G8" s="6">
        <v>46219.0</v>
      </c>
      <c r="H8" s="1" t="s">
        <v>122</v>
      </c>
      <c r="I8" s="1" t="s">
        <v>112</v>
      </c>
      <c r="J8" s="1" t="s">
        <v>52</v>
      </c>
    </row>
    <row r="9">
      <c r="B9" s="1" t="s">
        <v>31</v>
      </c>
      <c r="C9" s="1" t="s">
        <v>129</v>
      </c>
      <c r="D9" s="1" t="s">
        <v>108</v>
      </c>
      <c r="E9" s="4">
        <v>5.0</v>
      </c>
      <c r="F9" s="1" t="s">
        <v>41</v>
      </c>
      <c r="G9" s="6">
        <v>46219.0</v>
      </c>
      <c r="H9" s="1" t="s">
        <v>135</v>
      </c>
      <c r="I9" s="1" t="s">
        <v>112</v>
      </c>
      <c r="J9" s="1" t="s">
        <v>52</v>
      </c>
    </row>
    <row r="10">
      <c r="B10" s="1" t="s">
        <v>31</v>
      </c>
      <c r="C10" s="1" t="s">
        <v>142</v>
      </c>
      <c r="D10" s="1" t="s">
        <v>144</v>
      </c>
      <c r="E10" s="4">
        <v>7.0</v>
      </c>
      <c r="F10" s="1" t="s">
        <v>41</v>
      </c>
      <c r="G10" s="6">
        <v>46219.0</v>
      </c>
      <c r="H10" s="1" t="s">
        <v>148</v>
      </c>
      <c r="I10" s="1" t="s">
        <v>112</v>
      </c>
      <c r="J10" s="1" t="s">
        <v>52</v>
      </c>
    </row>
    <row r="11">
      <c r="B11" s="1" t="s">
        <v>31</v>
      </c>
      <c r="C11" s="1" t="s">
        <v>152</v>
      </c>
      <c r="D11" s="1" t="s">
        <v>144</v>
      </c>
      <c r="E11" s="4">
        <v>7.0</v>
      </c>
      <c r="F11" s="1" t="s">
        <v>41</v>
      </c>
      <c r="G11" s="6">
        <v>46219.0</v>
      </c>
      <c r="H11" s="1" t="s">
        <v>155</v>
      </c>
      <c r="I11" s="1" t="s">
        <v>112</v>
      </c>
      <c r="J11" s="1" t="s">
        <v>52</v>
      </c>
    </row>
    <row r="12">
      <c r="B12" s="1" t="s">
        <v>31</v>
      </c>
      <c r="C12" s="1" t="s">
        <v>157</v>
      </c>
      <c r="D12" s="1" t="s">
        <v>158</v>
      </c>
      <c r="E12" s="4">
        <v>1.0</v>
      </c>
      <c r="F12" s="1" t="s">
        <v>41</v>
      </c>
      <c r="G12" s="6">
        <v>46219.0</v>
      </c>
      <c r="H12" s="1" t="s">
        <v>160</v>
      </c>
      <c r="I12" s="1" t="s">
        <v>112</v>
      </c>
      <c r="J12" s="1" t="s">
        <v>52</v>
      </c>
    </row>
    <row r="13">
      <c r="B13" s="1" t="s">
        <v>31</v>
      </c>
      <c r="C13" s="1" t="s">
        <v>163</v>
      </c>
      <c r="D13" s="1" t="s">
        <v>164</v>
      </c>
      <c r="E13" s="4">
        <v>50.0</v>
      </c>
      <c r="F13" s="1" t="s">
        <v>41</v>
      </c>
      <c r="G13" s="6">
        <v>46224.0</v>
      </c>
      <c r="H13" s="1" t="s">
        <v>166</v>
      </c>
      <c r="I13" s="1" t="s">
        <v>167</v>
      </c>
      <c r="J13" s="1" t="s">
        <v>169</v>
      </c>
    </row>
    <row r="14">
      <c r="B14" s="1" t="s">
        <v>170</v>
      </c>
      <c r="C14" s="1" t="s">
        <v>157</v>
      </c>
      <c r="D14" s="1" t="s">
        <v>158</v>
      </c>
      <c r="E14" s="4">
        <v>1.0</v>
      </c>
      <c r="F14" s="1" t="s">
        <v>171</v>
      </c>
      <c r="G14" s="6">
        <v>46230.0</v>
      </c>
      <c r="H14" s="1" t="s">
        <v>172</v>
      </c>
      <c r="I14" s="1" t="s">
        <v>112</v>
      </c>
      <c r="J14" s="1" t="s">
        <v>174</v>
      </c>
    </row>
    <row r="15">
      <c r="B15" s="1" t="s">
        <v>170</v>
      </c>
      <c r="C15" s="1" t="s">
        <v>142</v>
      </c>
      <c r="D15" s="1" t="s">
        <v>175</v>
      </c>
      <c r="E15" s="4">
        <v>1.0</v>
      </c>
      <c r="F15" s="1" t="s">
        <v>171</v>
      </c>
      <c r="G15" s="6">
        <v>46230.0</v>
      </c>
      <c r="H15" s="1" t="s">
        <v>176</v>
      </c>
      <c r="I15" s="1" t="s">
        <v>112</v>
      </c>
      <c r="J15" s="1" t="s">
        <v>174</v>
      </c>
    </row>
    <row r="16">
      <c r="B16" s="1" t="s">
        <v>170</v>
      </c>
      <c r="C16" s="1" t="s">
        <v>81</v>
      </c>
      <c r="D16" s="1" t="s">
        <v>83</v>
      </c>
      <c r="E16" s="4">
        <v>1.0</v>
      </c>
      <c r="F16" s="1" t="s">
        <v>171</v>
      </c>
      <c r="G16" s="6">
        <v>46242.0</v>
      </c>
      <c r="H16" s="1" t="s">
        <v>178</v>
      </c>
      <c r="I16" s="1" t="s">
        <v>112</v>
      </c>
      <c r="J16" s="1" t="s">
        <v>180</v>
      </c>
    </row>
    <row r="17">
      <c r="B17" s="1" t="s">
        <v>170</v>
      </c>
      <c r="C17" s="1" t="s">
        <v>56</v>
      </c>
      <c r="D17" s="1" t="s">
        <v>58</v>
      </c>
      <c r="E17" s="4">
        <v>2.0</v>
      </c>
      <c r="F17" s="1" t="s">
        <v>171</v>
      </c>
      <c r="G17" s="6">
        <v>46242.0</v>
      </c>
      <c r="H17" s="1" t="s">
        <v>182</v>
      </c>
      <c r="I17" s="1" t="s">
        <v>112</v>
      </c>
      <c r="J17" s="1" t="s">
        <v>180</v>
      </c>
    </row>
    <row r="18">
      <c r="B18" s="1" t="s">
        <v>170</v>
      </c>
      <c r="C18" s="1" t="s">
        <v>70</v>
      </c>
      <c r="D18" s="1" t="s">
        <v>72</v>
      </c>
      <c r="E18" s="4">
        <v>1.0</v>
      </c>
      <c r="F18" s="1" t="s">
        <v>171</v>
      </c>
      <c r="G18" s="6">
        <v>46242.0</v>
      </c>
      <c r="H18" s="1" t="s">
        <v>185</v>
      </c>
      <c r="I18" s="1" t="s">
        <v>112</v>
      </c>
      <c r="J18" s="1" t="s">
        <v>180</v>
      </c>
    </row>
    <row r="19">
      <c r="B19" s="1" t="s">
        <v>31</v>
      </c>
      <c r="C19" s="1" t="s">
        <v>186</v>
      </c>
      <c r="D19" s="1" t="s">
        <v>187</v>
      </c>
      <c r="E19" s="4">
        <v>50.0</v>
      </c>
      <c r="F19" s="1" t="s">
        <v>41</v>
      </c>
      <c r="G19" s="6">
        <v>46245.0</v>
      </c>
      <c r="H19" s="1" t="s">
        <v>188</v>
      </c>
      <c r="I19" s="1" t="s">
        <v>167</v>
      </c>
      <c r="J19" s="1" t="s">
        <v>189</v>
      </c>
    </row>
    <row r="20">
      <c r="B20" s="1" t="s">
        <v>170</v>
      </c>
      <c r="C20" s="1" t="s">
        <v>56</v>
      </c>
      <c r="D20" s="1" t="s">
        <v>58</v>
      </c>
      <c r="E20" s="4">
        <v>1.0</v>
      </c>
      <c r="F20" s="1" t="s">
        <v>171</v>
      </c>
      <c r="G20" s="6">
        <v>46259.0</v>
      </c>
      <c r="H20" s="1" t="s">
        <v>193</v>
      </c>
      <c r="I20" s="1" t="s">
        <v>147</v>
      </c>
      <c r="J20" s="1" t="s">
        <v>194</v>
      </c>
    </row>
    <row r="21">
      <c r="B21" s="1" t="s">
        <v>170</v>
      </c>
      <c r="C21" s="1" t="s">
        <v>56</v>
      </c>
      <c r="D21" s="1" t="s">
        <v>58</v>
      </c>
      <c r="E21" s="4">
        <v>400.0</v>
      </c>
      <c r="F21" s="1" t="s">
        <v>171</v>
      </c>
      <c r="G21" s="6">
        <v>46265.0</v>
      </c>
      <c r="H21" s="1" t="s">
        <v>196</v>
      </c>
      <c r="I21" s="1" t="s">
        <v>75</v>
      </c>
      <c r="J21" s="1" t="s">
        <v>197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7.38"/>
  </cols>
  <sheetData>
    <row r="1">
      <c r="A1" s="1" t="s">
        <v>2</v>
      </c>
      <c r="B1" s="1" t="s">
        <v>6</v>
      </c>
    </row>
    <row r="2">
      <c r="A2" s="2">
        <v>46099.74258392361</v>
      </c>
      <c r="B2" s="1" t="s">
        <v>32</v>
      </c>
    </row>
    <row r="3">
      <c r="A3" s="2">
        <v>46099.74259541667</v>
      </c>
      <c r="B3" s="1" t="s">
        <v>37</v>
      </c>
    </row>
    <row r="4">
      <c r="A4" s="2">
        <v>46099.74260053241</v>
      </c>
      <c r="B4" s="1" t="s">
        <v>42</v>
      </c>
    </row>
    <row r="5">
      <c r="A5" s="2">
        <v>46099.74731777778</v>
      </c>
      <c r="B5" s="1" t="s">
        <v>47</v>
      </c>
    </row>
    <row r="6">
      <c r="A6" s="2">
        <v>46099.74733315972</v>
      </c>
      <c r="B6" s="1" t="s">
        <v>37</v>
      </c>
    </row>
    <row r="7">
      <c r="A7" s="2">
        <v>46099.747339699075</v>
      </c>
      <c r="B7" s="1" t="s">
        <v>53</v>
      </c>
    </row>
    <row r="8">
      <c r="A8" s="2">
        <v>46100.604140428244</v>
      </c>
      <c r="B8" s="1" t="s">
        <v>47</v>
      </c>
    </row>
    <row r="9">
      <c r="A9" s="2">
        <v>46100.6041578125</v>
      </c>
      <c r="B9" s="1" t="s">
        <v>65</v>
      </c>
    </row>
    <row r="10">
      <c r="A10" s="2">
        <v>46100.604162627315</v>
      </c>
      <c r="B10" s="1" t="s">
        <v>68</v>
      </c>
    </row>
    <row r="11">
      <c r="A11" s="2">
        <v>46100.69180237269</v>
      </c>
      <c r="B11" s="1" t="s">
        <v>47</v>
      </c>
    </row>
    <row r="12">
      <c r="A12" s="2">
        <v>46100.691814861115</v>
      </c>
      <c r="B12" s="1" t="s">
        <v>78</v>
      </c>
    </row>
    <row r="13">
      <c r="A13" s="2">
        <v>46100.691821851855</v>
      </c>
      <c r="B13" s="1" t="s">
        <v>80</v>
      </c>
    </row>
    <row r="14">
      <c r="A14" s="2">
        <v>46104.6944190162</v>
      </c>
      <c r="B14" s="1" t="s">
        <v>84</v>
      </c>
    </row>
    <row r="15">
      <c r="A15" s="2">
        <v>46104.69444907407</v>
      </c>
      <c r="B15" s="1" t="s">
        <v>78</v>
      </c>
    </row>
    <row r="16">
      <c r="A16" s="2">
        <v>46104.69447267361</v>
      </c>
      <c r="B16" s="1" t="s">
        <v>80</v>
      </c>
    </row>
    <row r="17">
      <c r="A17" s="2">
        <v>46104.69456729166</v>
      </c>
      <c r="B17" s="1" t="s">
        <v>32</v>
      </c>
    </row>
    <row r="18">
      <c r="A18" s="2">
        <v>46104.6945858449</v>
      </c>
      <c r="B18" s="1" t="s">
        <v>78</v>
      </c>
    </row>
    <row r="19">
      <c r="A19" s="2">
        <v>46104.69459993056</v>
      </c>
      <c r="B19" s="1" t="s">
        <v>80</v>
      </c>
    </row>
    <row r="20">
      <c r="A20" s="2">
        <v>46105.62565425926</v>
      </c>
      <c r="B20" s="1" t="s">
        <v>102</v>
      </c>
    </row>
    <row r="21">
      <c r="A21" s="2">
        <v>46105.625676400465</v>
      </c>
      <c r="B21" s="1" t="s">
        <v>37</v>
      </c>
    </row>
    <row r="22">
      <c r="A22" s="2">
        <v>46105.62568701389</v>
      </c>
      <c r="B22" s="1" t="s">
        <v>53</v>
      </c>
    </row>
    <row r="23">
      <c r="A23" s="2">
        <v>46105.62582084491</v>
      </c>
      <c r="B23" s="1" t="s">
        <v>102</v>
      </c>
    </row>
    <row r="24">
      <c r="A24" s="2">
        <v>46105.62585931713</v>
      </c>
      <c r="B24" s="1" t="s">
        <v>65</v>
      </c>
    </row>
    <row r="25">
      <c r="A25" s="2">
        <v>46105.62586650463</v>
      </c>
      <c r="B25" s="1" t="s">
        <v>68</v>
      </c>
    </row>
    <row r="26">
      <c r="A26" s="2">
        <v>46105.62877921296</v>
      </c>
      <c r="B26" s="1" t="s">
        <v>132</v>
      </c>
    </row>
    <row r="27">
      <c r="A27" s="2">
        <v>46105.628801307874</v>
      </c>
      <c r="B27" s="1" t="s">
        <v>136</v>
      </c>
    </row>
    <row r="28">
      <c r="A28" s="2">
        <v>46105.628816412034</v>
      </c>
      <c r="B28" s="1" t="s">
        <v>141</v>
      </c>
    </row>
    <row r="29">
      <c r="A29" s="2">
        <v>46105.62899157408</v>
      </c>
      <c r="B29" s="1" t="s">
        <v>146</v>
      </c>
    </row>
    <row r="30">
      <c r="A30" s="2">
        <v>46105.6290118287</v>
      </c>
      <c r="B30" s="1" t="s">
        <v>151</v>
      </c>
    </row>
    <row r="31">
      <c r="A31" s="2">
        <v>46105.629020196764</v>
      </c>
      <c r="B31" s="1" t="s">
        <v>153</v>
      </c>
    </row>
    <row r="32">
      <c r="A32" s="2">
        <v>46105.629155902774</v>
      </c>
      <c r="B32" s="1" t="s">
        <v>154</v>
      </c>
    </row>
    <row r="33">
      <c r="A33" s="2">
        <v>46105.62917892361</v>
      </c>
      <c r="B33" s="1" t="s">
        <v>78</v>
      </c>
    </row>
    <row r="34">
      <c r="A34" s="2">
        <v>46105.62919565973</v>
      </c>
      <c r="B34" s="1" t="s">
        <v>80</v>
      </c>
    </row>
    <row r="35">
      <c r="A35" s="2">
        <v>46105.62932090278</v>
      </c>
      <c r="B35" s="1" t="s">
        <v>159</v>
      </c>
    </row>
    <row r="36">
      <c r="A36" s="2">
        <v>46105.629337245366</v>
      </c>
      <c r="B36" s="1" t="s">
        <v>162</v>
      </c>
    </row>
    <row r="37">
      <c r="A37" s="2">
        <v>46105.62934484954</v>
      </c>
      <c r="B37" s="1" t="s">
        <v>165</v>
      </c>
    </row>
    <row r="38">
      <c r="A38" s="2">
        <v>46105.62948192129</v>
      </c>
      <c r="B38" s="1" t="s">
        <v>168</v>
      </c>
    </row>
    <row r="39">
      <c r="A39" s="2">
        <v>46105.62949998843</v>
      </c>
      <c r="B39" s="1" t="s">
        <v>136</v>
      </c>
    </row>
    <row r="40">
      <c r="A40" s="2">
        <v>46105.62951234954</v>
      </c>
      <c r="B40" s="1" t="s">
        <v>141</v>
      </c>
    </row>
    <row r="41">
      <c r="A41" s="2">
        <v>46105.629618113424</v>
      </c>
      <c r="B41" s="1" t="s">
        <v>173</v>
      </c>
    </row>
    <row r="42">
      <c r="A42" s="2">
        <v>46105.62965314815</v>
      </c>
      <c r="B42" s="1" t="s">
        <v>162</v>
      </c>
    </row>
    <row r="43">
      <c r="A43" s="2">
        <v>46105.629670740745</v>
      </c>
      <c r="B43" s="1" t="s">
        <v>165</v>
      </c>
    </row>
    <row r="44">
      <c r="A44" s="2">
        <v>46105.630016180556</v>
      </c>
      <c r="B44" s="1" t="s">
        <v>177</v>
      </c>
    </row>
    <row r="45">
      <c r="A45" s="2">
        <v>46105.63003346065</v>
      </c>
      <c r="B45" s="1" t="s">
        <v>162</v>
      </c>
    </row>
    <row r="46">
      <c r="A46" s="2">
        <v>46105.630043020836</v>
      </c>
      <c r="B46" s="1" t="s">
        <v>165</v>
      </c>
    </row>
    <row r="47">
      <c r="A47" s="2">
        <v>46106.55721204861</v>
      </c>
      <c r="B47" s="1" t="s">
        <v>102</v>
      </c>
    </row>
    <row r="48">
      <c r="A48" s="2">
        <v>46106.55722599537</v>
      </c>
      <c r="B48" s="1" t="s">
        <v>181</v>
      </c>
    </row>
    <row r="49">
      <c r="A49" s="2">
        <v>46106.55724336806</v>
      </c>
      <c r="B49" s="1" t="s">
        <v>183</v>
      </c>
    </row>
    <row r="50">
      <c r="A50" s="2">
        <v>46106.69027949074</v>
      </c>
      <c r="B50" s="1" t="s">
        <v>184</v>
      </c>
    </row>
    <row r="51">
      <c r="A51" s="2">
        <v>46106.69029324074</v>
      </c>
      <c r="B51" s="1" t="s">
        <v>37</v>
      </c>
    </row>
    <row r="52">
      <c r="A52" s="2">
        <v>46106.69031604167</v>
      </c>
      <c r="B52" s="1" t="s">
        <v>53</v>
      </c>
    </row>
    <row r="53">
      <c r="A53" s="2">
        <v>46107.35790324074</v>
      </c>
      <c r="B53" s="1" t="s">
        <v>102</v>
      </c>
    </row>
    <row r="54">
      <c r="A54" s="2">
        <v>46107.35792214121</v>
      </c>
      <c r="B54" s="1" t="s">
        <v>162</v>
      </c>
    </row>
    <row r="55">
      <c r="A55" s="2">
        <v>46107.357930474536</v>
      </c>
      <c r="B55" s="1" t="s">
        <v>165</v>
      </c>
    </row>
    <row r="56">
      <c r="A56" s="2">
        <v>46107.64666993056</v>
      </c>
      <c r="B56" s="1" t="s">
        <v>184</v>
      </c>
    </row>
    <row r="57">
      <c r="A57" s="2">
        <v>46107.646683750005</v>
      </c>
      <c r="B57" s="1" t="s">
        <v>65</v>
      </c>
    </row>
    <row r="58">
      <c r="A58" s="2">
        <v>46107.646702303246</v>
      </c>
      <c r="B58" s="1" t="s">
        <v>68</v>
      </c>
    </row>
    <row r="59">
      <c r="A59" s="2">
        <v>46107.715142546294</v>
      </c>
      <c r="B59" s="1" t="s">
        <v>184</v>
      </c>
    </row>
    <row r="60">
      <c r="A60" s="2">
        <v>46107.71515270833</v>
      </c>
      <c r="B60" s="1" t="s">
        <v>181</v>
      </c>
    </row>
    <row r="61">
      <c r="A61" s="2">
        <v>46107.71515694444</v>
      </c>
      <c r="B61" s="1" t="s">
        <v>192</v>
      </c>
    </row>
    <row r="62">
      <c r="A62" s="2">
        <v>46107.71515905093</v>
      </c>
      <c r="B62" s="1" t="s">
        <v>183</v>
      </c>
    </row>
    <row r="63">
      <c r="A63" s="2">
        <v>46107.71517303241</v>
      </c>
      <c r="B63" s="1" t="s">
        <v>37</v>
      </c>
    </row>
    <row r="64">
      <c r="A64" s="2">
        <v>46107.7151812963</v>
      </c>
      <c r="B64" s="1" t="s">
        <v>53</v>
      </c>
    </row>
    <row r="65">
      <c r="A65" s="2">
        <v>46107.71598865741</v>
      </c>
      <c r="B65" s="1" t="s">
        <v>195</v>
      </c>
    </row>
    <row r="66">
      <c r="A66" s="2">
        <v>46107.71606252315</v>
      </c>
      <c r="B66" s="1" t="s">
        <v>37</v>
      </c>
    </row>
    <row r="67">
      <c r="A67" s="2">
        <v>46107.71607664352</v>
      </c>
      <c r="B67" s="1" t="s">
        <v>53</v>
      </c>
    </row>
    <row r="68">
      <c r="A68" s="2">
        <v>46107.722431539354</v>
      </c>
      <c r="B68" s="1" t="s">
        <v>192</v>
      </c>
    </row>
    <row r="69">
      <c r="A69" s="2">
        <v>46107.7224453125</v>
      </c>
      <c r="B69" s="1" t="s">
        <v>65</v>
      </c>
    </row>
    <row r="70">
      <c r="A70" s="2">
        <v>46107.72245265046</v>
      </c>
      <c r="B70" s="1" t="s">
        <v>68</v>
      </c>
    </row>
    <row r="71">
      <c r="A71" s="2">
        <v>46107.722883738425</v>
      </c>
      <c r="B71" s="1" t="s">
        <v>192</v>
      </c>
    </row>
    <row r="72">
      <c r="A72" s="2">
        <v>46107.722900451394</v>
      </c>
      <c r="B72" s="1" t="s">
        <v>181</v>
      </c>
    </row>
    <row r="73">
      <c r="A73" s="2">
        <v>46107.72290954861</v>
      </c>
      <c r="B73" s="1" t="s">
        <v>183</v>
      </c>
    </row>
    <row r="74">
      <c r="A74" s="2">
        <v>46107.74358142361</v>
      </c>
      <c r="B74" s="1" t="s">
        <v>199</v>
      </c>
    </row>
    <row r="75">
      <c r="A75" s="2">
        <v>46107.74359033565</v>
      </c>
      <c r="B75" s="1" t="s">
        <v>37</v>
      </c>
    </row>
    <row r="76">
      <c r="A76" s="2">
        <v>46107.74359564815</v>
      </c>
      <c r="B76" s="1" t="s">
        <v>53</v>
      </c>
    </row>
    <row r="77">
      <c r="A77" s="2">
        <v>46108.35861412037</v>
      </c>
      <c r="B77" s="1" t="s">
        <v>184</v>
      </c>
    </row>
    <row r="78">
      <c r="A78" s="2">
        <v>46108.35862520833</v>
      </c>
      <c r="B78" s="1" t="s">
        <v>202</v>
      </c>
    </row>
    <row r="79">
      <c r="A79" s="2">
        <v>46108.35863340278</v>
      </c>
      <c r="B79" s="1" t="s">
        <v>204</v>
      </c>
    </row>
    <row r="80">
      <c r="A80" s="2">
        <v>46108.358776967594</v>
      </c>
      <c r="B80" s="1" t="s">
        <v>192</v>
      </c>
    </row>
    <row r="81">
      <c r="A81" s="2">
        <v>46108.358790405095</v>
      </c>
      <c r="B81" s="1" t="s">
        <v>78</v>
      </c>
    </row>
    <row r="82">
      <c r="A82" s="2">
        <v>46108.35880190972</v>
      </c>
      <c r="B82" s="1" t="s">
        <v>80</v>
      </c>
    </row>
    <row r="83">
      <c r="A83" s="2">
        <v>46108.37548268518</v>
      </c>
      <c r="B83" s="1" t="s">
        <v>195</v>
      </c>
    </row>
    <row r="84">
      <c r="A84" s="2">
        <v>46108.37551600694</v>
      </c>
      <c r="B84" s="1" t="s">
        <v>65</v>
      </c>
    </row>
    <row r="85">
      <c r="A85" s="2">
        <v>46108.3755284838</v>
      </c>
      <c r="B85" s="1" t="s">
        <v>68</v>
      </c>
    </row>
    <row r="86">
      <c r="A86" s="2">
        <v>46108.38136114583</v>
      </c>
      <c r="B86" s="1" t="s">
        <v>195</v>
      </c>
    </row>
    <row r="87">
      <c r="A87" s="2">
        <v>46108.381376944446</v>
      </c>
      <c r="B87" s="1" t="s">
        <v>181</v>
      </c>
    </row>
    <row r="88">
      <c r="A88" s="2">
        <v>46108.381394537035</v>
      </c>
      <c r="B88" s="1" t="s">
        <v>183</v>
      </c>
    </row>
    <row r="89">
      <c r="A89" s="2">
        <v>46108.38470599537</v>
      </c>
      <c r="B89" s="1" t="s">
        <v>199</v>
      </c>
    </row>
    <row r="90">
      <c r="A90" s="2">
        <v>46108.384722511575</v>
      </c>
      <c r="B90" s="1" t="s">
        <v>65</v>
      </c>
    </row>
    <row r="91">
      <c r="A91" s="2">
        <v>46108.38473211805</v>
      </c>
      <c r="B91" s="1" t="s">
        <v>68</v>
      </c>
    </row>
    <row r="92">
      <c r="A92" s="2">
        <v>46108.42268351852</v>
      </c>
      <c r="B92" s="1" t="s">
        <v>199</v>
      </c>
    </row>
    <row r="93">
      <c r="A93" s="2">
        <v>46108.42269461806</v>
      </c>
      <c r="B93" s="1" t="s">
        <v>181</v>
      </c>
    </row>
    <row r="94">
      <c r="A94" s="2">
        <v>46108.4227003125</v>
      </c>
      <c r="B94" s="1" t="s">
        <v>183</v>
      </c>
    </row>
    <row r="95">
      <c r="A95" s="2">
        <v>46108.583459699075</v>
      </c>
      <c r="B95" s="1" t="s">
        <v>195</v>
      </c>
    </row>
    <row r="96">
      <c r="A96" s="2">
        <v>46108.583472708335</v>
      </c>
      <c r="B96" s="1" t="s">
        <v>78</v>
      </c>
    </row>
    <row r="97">
      <c r="A97" s="2">
        <v>46108.58347952546</v>
      </c>
      <c r="B97" s="1" t="s">
        <v>80</v>
      </c>
    </row>
    <row r="98">
      <c r="A98" s="2">
        <v>46108.58365545139</v>
      </c>
      <c r="B98" s="1" t="s">
        <v>199</v>
      </c>
    </row>
    <row r="99">
      <c r="A99" s="2">
        <v>46108.583676863425</v>
      </c>
      <c r="B99" s="1" t="s">
        <v>78</v>
      </c>
    </row>
    <row r="100">
      <c r="A100" s="2">
        <v>46108.58369168981</v>
      </c>
      <c r="B100" s="1" t="s">
        <v>80</v>
      </c>
    </row>
    <row r="101">
      <c r="A101" s="2">
        <v>46113.62971680556</v>
      </c>
      <c r="B101" s="1" t="s">
        <v>206</v>
      </c>
    </row>
    <row r="102">
      <c r="A102" s="2">
        <v>46113.62974107639</v>
      </c>
      <c r="B102" s="1" t="s">
        <v>37</v>
      </c>
    </row>
    <row r="103">
      <c r="A103" s="2">
        <v>46113.6297533912</v>
      </c>
      <c r="B103" s="1" t="s">
        <v>53</v>
      </c>
    </row>
    <row r="104">
      <c r="A104" s="2">
        <v>46113.63307314814</v>
      </c>
      <c r="B104" s="1" t="s">
        <v>207</v>
      </c>
    </row>
    <row r="105">
      <c r="A105" s="2">
        <v>46113.63308460648</v>
      </c>
      <c r="B105" s="1" t="s">
        <v>37</v>
      </c>
    </row>
    <row r="106">
      <c r="A106" s="2">
        <v>46113.633093136574</v>
      </c>
      <c r="B106" s="1" t="s">
        <v>53</v>
      </c>
    </row>
    <row r="107">
      <c r="A107" s="2">
        <v>46113.68109979166</v>
      </c>
      <c r="B107" s="1" t="s">
        <v>208</v>
      </c>
    </row>
    <row r="108">
      <c r="A108" s="2">
        <v>46113.68111538194</v>
      </c>
      <c r="B108" s="1" t="s">
        <v>37</v>
      </c>
    </row>
    <row r="109">
      <c r="A109" s="2">
        <v>46113.68112278935</v>
      </c>
      <c r="B109" s="1" t="s">
        <v>53</v>
      </c>
    </row>
    <row r="110">
      <c r="A110" s="2">
        <v>46113.682126678235</v>
      </c>
      <c r="B110" s="1" t="s">
        <v>206</v>
      </c>
    </row>
    <row r="111">
      <c r="A111" s="2">
        <v>46113.682144328704</v>
      </c>
      <c r="B111" s="1" t="s">
        <v>65</v>
      </c>
    </row>
    <row r="112">
      <c r="A112" s="2">
        <v>46113.68215003472</v>
      </c>
      <c r="B112" s="1" t="s">
        <v>68</v>
      </c>
    </row>
    <row r="113">
      <c r="A113" s="2">
        <v>46113.682722997684</v>
      </c>
      <c r="B113" s="1" t="s">
        <v>208</v>
      </c>
    </row>
    <row r="114">
      <c r="A114" s="2">
        <v>46113.68275821759</v>
      </c>
      <c r="B114" s="1" t="s">
        <v>65</v>
      </c>
    </row>
    <row r="115">
      <c r="A115" s="2">
        <v>46113.68276422453</v>
      </c>
      <c r="B115" s="1" t="s">
        <v>68</v>
      </c>
    </row>
    <row r="116">
      <c r="A116" s="2">
        <v>46113.68299421296</v>
      </c>
      <c r="B116" s="1" t="s">
        <v>208</v>
      </c>
    </row>
    <row r="117">
      <c r="A117" s="2">
        <v>46113.68301136574</v>
      </c>
      <c r="B117" s="1" t="s">
        <v>162</v>
      </c>
    </row>
    <row r="118">
      <c r="A118" s="2">
        <v>46113.68302077547</v>
      </c>
      <c r="B118" s="1" t="s">
        <v>165</v>
      </c>
    </row>
    <row r="119">
      <c r="A119" s="2">
        <v>46113.68304228009</v>
      </c>
      <c r="B119" s="1" t="s">
        <v>208</v>
      </c>
    </row>
    <row r="120">
      <c r="A120" s="2">
        <v>46113.68305640046</v>
      </c>
      <c r="B120" s="1" t="s">
        <v>162</v>
      </c>
    </row>
    <row r="121">
      <c r="A121" s="2">
        <v>46113.68306497685</v>
      </c>
      <c r="B121" s="1" t="s">
        <v>165</v>
      </c>
    </row>
    <row r="122">
      <c r="A122" s="2">
        <v>46113.68340599537</v>
      </c>
      <c r="B122" s="1" t="s">
        <v>207</v>
      </c>
    </row>
    <row r="123">
      <c r="A123" s="2">
        <v>46113.68343055555</v>
      </c>
      <c r="B123" s="1" t="s">
        <v>65</v>
      </c>
    </row>
    <row r="124">
      <c r="A124" s="2">
        <v>46113.68343951389</v>
      </c>
      <c r="B124" s="1" t="s">
        <v>68</v>
      </c>
    </row>
    <row r="125">
      <c r="A125" s="2">
        <v>46113.68824325231</v>
      </c>
      <c r="B125" s="1" t="s">
        <v>206</v>
      </c>
    </row>
    <row r="126">
      <c r="A126" s="2">
        <v>46113.68825765046</v>
      </c>
      <c r="B126" s="1" t="s">
        <v>181</v>
      </c>
    </row>
    <row r="127">
      <c r="A127" s="2">
        <v>46113.68826766204</v>
      </c>
      <c r="B127" s="1" t="s">
        <v>183</v>
      </c>
    </row>
    <row r="128">
      <c r="A128" s="2">
        <v>46113.68852715278</v>
      </c>
      <c r="B128" s="1" t="s">
        <v>207</v>
      </c>
    </row>
    <row r="129">
      <c r="A129" s="2">
        <v>46113.68854293981</v>
      </c>
      <c r="B129" s="1" t="s">
        <v>181</v>
      </c>
    </row>
    <row r="130">
      <c r="A130" s="2">
        <v>46113.68855464121</v>
      </c>
      <c r="B130" s="1" t="s">
        <v>183</v>
      </c>
    </row>
    <row r="131">
      <c r="A131" s="2">
        <v>46113.692333865736</v>
      </c>
      <c r="B131" s="1" t="s">
        <v>220</v>
      </c>
    </row>
    <row r="132">
      <c r="A132" s="2">
        <v>46113.69235706019</v>
      </c>
      <c r="B132" s="1" t="s">
        <v>37</v>
      </c>
    </row>
    <row r="133">
      <c r="A133" s="2">
        <v>46113.69238502315</v>
      </c>
      <c r="B133" s="1" t="s">
        <v>53</v>
      </c>
    </row>
    <row r="134">
      <c r="A134" s="2">
        <v>46113.742205613424</v>
      </c>
      <c r="B134" s="1" t="s">
        <v>206</v>
      </c>
    </row>
    <row r="135">
      <c r="A135" s="2">
        <v>46113.742241342596</v>
      </c>
      <c r="B135" s="1" t="s">
        <v>221</v>
      </c>
    </row>
    <row r="136">
      <c r="A136" s="2">
        <v>46113.74224983796</v>
      </c>
      <c r="B136" s="1" t="s">
        <v>222</v>
      </c>
    </row>
    <row r="137">
      <c r="A137" s="2">
        <v>46113.74239708333</v>
      </c>
      <c r="B137" s="1" t="s">
        <v>207</v>
      </c>
    </row>
    <row r="138">
      <c r="A138" s="2">
        <v>46113.74242188658</v>
      </c>
      <c r="B138" s="1" t="s">
        <v>221</v>
      </c>
    </row>
    <row r="139">
      <c r="A139" s="2">
        <v>46113.74243875</v>
      </c>
      <c r="B139" s="1" t="s">
        <v>222</v>
      </c>
    </row>
    <row r="140">
      <c r="A140" s="2">
        <v>46114.430427824074</v>
      </c>
      <c r="B140" s="1" t="s">
        <v>220</v>
      </c>
    </row>
    <row r="141">
      <c r="A141" s="2">
        <v>46114.43044648148</v>
      </c>
      <c r="B141" s="1" t="s">
        <v>65</v>
      </c>
    </row>
    <row r="142">
      <c r="A142" s="2">
        <v>46114.43045168981</v>
      </c>
      <c r="B142" s="1" t="s">
        <v>68</v>
      </c>
    </row>
    <row r="143">
      <c r="A143" s="2">
        <v>46114.430603217595</v>
      </c>
      <c r="B143" s="1" t="s">
        <v>220</v>
      </c>
    </row>
    <row r="144">
      <c r="A144" s="2">
        <v>46114.43062153935</v>
      </c>
      <c r="B144" s="1" t="s">
        <v>162</v>
      </c>
    </row>
    <row r="145">
      <c r="A145" s="2">
        <v>46114.430632118056</v>
      </c>
      <c r="B145" s="1" t="s">
        <v>165</v>
      </c>
    </row>
    <row r="146">
      <c r="A146" s="2">
        <v>46114.43065858797</v>
      </c>
      <c r="B146" s="1" t="s">
        <v>220</v>
      </c>
    </row>
    <row r="147">
      <c r="A147" s="2">
        <v>46114.4306766088</v>
      </c>
      <c r="B147" s="1" t="s">
        <v>162</v>
      </c>
    </row>
    <row r="148">
      <c r="A148" s="2">
        <v>46114.43068517361</v>
      </c>
      <c r="B148" s="1" t="s">
        <v>165</v>
      </c>
    </row>
    <row r="149">
      <c r="A149" s="2">
        <v>46114.43525952546</v>
      </c>
      <c r="B149" s="1" t="s">
        <v>223</v>
      </c>
    </row>
    <row r="150">
      <c r="A150" s="2">
        <v>46114.43527403935</v>
      </c>
      <c r="B150" s="1" t="s">
        <v>37</v>
      </c>
    </row>
    <row r="151">
      <c r="A151" s="2">
        <v>46114.435280324076</v>
      </c>
      <c r="B151" s="1" t="s">
        <v>53</v>
      </c>
    </row>
    <row r="152">
      <c r="A152" s="2">
        <v>46114.435719120374</v>
      </c>
      <c r="B152" s="1" t="s">
        <v>223</v>
      </c>
    </row>
    <row r="153">
      <c r="A153" s="2">
        <v>46114.43573885417</v>
      </c>
      <c r="B153" s="1" t="s">
        <v>65</v>
      </c>
    </row>
    <row r="154">
      <c r="A154" s="2">
        <v>46114.43575017361</v>
      </c>
      <c r="B154" s="1" t="s">
        <v>68</v>
      </c>
    </row>
    <row r="155">
      <c r="A155" s="2">
        <v>46119.385447569446</v>
      </c>
      <c r="B155" s="1" t="s">
        <v>224</v>
      </c>
    </row>
    <row r="156">
      <c r="A156" s="2">
        <v>46119.385471435184</v>
      </c>
      <c r="B156" s="1" t="s">
        <v>37</v>
      </c>
    </row>
    <row r="157">
      <c r="A157" s="2">
        <v>46119.385482812504</v>
      </c>
      <c r="B157" s="1" t="s">
        <v>53</v>
      </c>
    </row>
    <row r="158">
      <c r="A158" s="2">
        <v>46119.413358668986</v>
      </c>
      <c r="B158" s="1" t="s">
        <v>223</v>
      </c>
    </row>
    <row r="159">
      <c r="A159" s="2">
        <v>46119.41338885417</v>
      </c>
      <c r="B159" s="1" t="s">
        <v>181</v>
      </c>
    </row>
    <row r="160">
      <c r="A160" s="2">
        <v>46119.413397199074</v>
      </c>
      <c r="B160" s="1" t="s">
        <v>183</v>
      </c>
    </row>
    <row r="161">
      <c r="A161" s="2">
        <v>46119.43675758102</v>
      </c>
      <c r="B161" s="1" t="s">
        <v>223</v>
      </c>
    </row>
    <row r="162">
      <c r="A162" s="2">
        <v>46119.436778206014</v>
      </c>
      <c r="B162" s="1" t="s">
        <v>162</v>
      </c>
    </row>
    <row r="163">
      <c r="A163" s="2">
        <v>46119.43678548611</v>
      </c>
      <c r="B163" s="1" t="s">
        <v>165</v>
      </c>
    </row>
    <row r="164">
      <c r="A164" s="2">
        <v>46120.467726863426</v>
      </c>
      <c r="B164" s="1" t="s">
        <v>224</v>
      </c>
    </row>
    <row r="165">
      <c r="A165" s="2">
        <v>46120.46774826389</v>
      </c>
      <c r="B165" s="1" t="s">
        <v>65</v>
      </c>
    </row>
    <row r="166">
      <c r="A166" s="2">
        <v>46120.46775836806</v>
      </c>
      <c r="B166" s="1" t="s">
        <v>68</v>
      </c>
    </row>
    <row r="167">
      <c r="A167" s="2">
        <v>46120.573885474536</v>
      </c>
      <c r="B167" s="1" t="s">
        <v>224</v>
      </c>
    </row>
    <row r="168">
      <c r="A168" s="2">
        <v>46120.57391643518</v>
      </c>
      <c r="B168" s="1" t="s">
        <v>181</v>
      </c>
    </row>
    <row r="169">
      <c r="A169" s="2">
        <v>46120.57392844907</v>
      </c>
      <c r="B169" s="1" t="s">
        <v>183</v>
      </c>
    </row>
    <row r="170">
      <c r="A170" s="2">
        <v>46120.60107023148</v>
      </c>
      <c r="B170" s="1" t="s">
        <v>225</v>
      </c>
    </row>
    <row r="171">
      <c r="A171" s="2">
        <v>46120.60108547454</v>
      </c>
      <c r="B171" s="1" t="s">
        <v>37</v>
      </c>
    </row>
    <row r="172">
      <c r="A172" s="2">
        <v>46120.6010999537</v>
      </c>
      <c r="B172" s="1" t="s">
        <v>53</v>
      </c>
    </row>
    <row r="173">
      <c r="A173" s="2">
        <v>46122.42974194445</v>
      </c>
      <c r="B173" s="1" t="s">
        <v>225</v>
      </c>
    </row>
    <row r="174">
      <c r="A174" s="2">
        <v>46122.42975792824</v>
      </c>
      <c r="B174" s="1" t="s">
        <v>65</v>
      </c>
    </row>
    <row r="175">
      <c r="A175" s="2">
        <v>46122.429768437505</v>
      </c>
      <c r="B175" s="1" t="s">
        <v>68</v>
      </c>
    </row>
    <row r="176">
      <c r="A176" s="2">
        <v>46132.603294120374</v>
      </c>
      <c r="B176" s="1" t="s">
        <v>226</v>
      </c>
    </row>
    <row r="177">
      <c r="A177" s="2">
        <v>46132.60331258102</v>
      </c>
      <c r="B177" s="1" t="s">
        <v>37</v>
      </c>
    </row>
    <row r="178">
      <c r="A178" s="2">
        <v>46132.60332258102</v>
      </c>
      <c r="B178" s="1" t="s">
        <v>53</v>
      </c>
    </row>
    <row r="179">
      <c r="A179" s="2">
        <v>46132.62053701389</v>
      </c>
      <c r="B179" s="1" t="s">
        <v>227</v>
      </c>
    </row>
    <row r="180">
      <c r="A180" s="2">
        <v>46132.620554560184</v>
      </c>
      <c r="B180" s="1" t="s">
        <v>37</v>
      </c>
    </row>
    <row r="181">
      <c r="A181" s="2">
        <v>46132.620565034726</v>
      </c>
      <c r="B181" s="1" t="s">
        <v>53</v>
      </c>
    </row>
    <row r="182">
      <c r="A182" s="2">
        <v>46132.621053807874</v>
      </c>
      <c r="B182" s="1" t="s">
        <v>228</v>
      </c>
    </row>
    <row r="183">
      <c r="A183" s="2">
        <v>46132.62107945602</v>
      </c>
      <c r="B183" s="1" t="s">
        <v>37</v>
      </c>
    </row>
    <row r="184">
      <c r="A184" s="2">
        <v>46132.621096296294</v>
      </c>
      <c r="B184" s="1" t="s">
        <v>53</v>
      </c>
    </row>
    <row r="185">
      <c r="A185" s="2">
        <v>46132.69976350694</v>
      </c>
      <c r="B185" s="1" t="s">
        <v>225</v>
      </c>
    </row>
    <row r="186">
      <c r="A186" s="2">
        <v>46132.69978553241</v>
      </c>
      <c r="B186" s="1" t="s">
        <v>181</v>
      </c>
    </row>
    <row r="187">
      <c r="A187" s="2">
        <v>46132.69980533565</v>
      </c>
      <c r="B187" s="1" t="s">
        <v>183</v>
      </c>
    </row>
    <row r="188">
      <c r="A188" s="2">
        <v>46132.702996875</v>
      </c>
      <c r="B188" s="1" t="s">
        <v>224</v>
      </c>
    </row>
    <row r="189">
      <c r="A189" s="2">
        <v>46132.70302097222</v>
      </c>
      <c r="B189" s="1" t="s">
        <v>162</v>
      </c>
    </row>
    <row r="190">
      <c r="A190" s="2">
        <v>46132.703028194446</v>
      </c>
      <c r="B190" s="1" t="s">
        <v>165</v>
      </c>
    </row>
    <row r="191">
      <c r="A191" s="2">
        <v>46132.703229583334</v>
      </c>
      <c r="B191" s="1" t="s">
        <v>225</v>
      </c>
    </row>
    <row r="192">
      <c r="A192" s="2">
        <v>46132.703251631945</v>
      </c>
      <c r="B192" s="1" t="s">
        <v>202</v>
      </c>
    </row>
    <row r="193">
      <c r="A193" s="2">
        <v>46132.70326783565</v>
      </c>
      <c r="B193" s="1" t="s">
        <v>204</v>
      </c>
    </row>
    <row r="194">
      <c r="A194" s="2">
        <v>46133.36836356482</v>
      </c>
      <c r="B194" s="1" t="s">
        <v>226</v>
      </c>
    </row>
    <row r="195">
      <c r="A195" s="2">
        <v>46133.36837989584</v>
      </c>
      <c r="B195" s="1" t="s">
        <v>65</v>
      </c>
    </row>
    <row r="196">
      <c r="A196" s="2">
        <v>46133.36839179398</v>
      </c>
      <c r="B196" s="1" t="s">
        <v>68</v>
      </c>
    </row>
    <row r="197">
      <c r="A197" s="2">
        <v>46133.368585578704</v>
      </c>
      <c r="B197" s="1" t="s">
        <v>227</v>
      </c>
    </row>
    <row r="198">
      <c r="A198" s="2">
        <v>46133.36860428241</v>
      </c>
      <c r="B198" s="1" t="s">
        <v>65</v>
      </c>
    </row>
    <row r="199">
      <c r="A199" s="2">
        <v>46133.36861777778</v>
      </c>
      <c r="B199" s="1" t="s">
        <v>68</v>
      </c>
    </row>
    <row r="200">
      <c r="A200" s="2">
        <v>46133.368733194446</v>
      </c>
      <c r="B200" s="1" t="s">
        <v>228</v>
      </c>
    </row>
    <row r="201">
      <c r="A201" s="2">
        <v>46133.36874960648</v>
      </c>
      <c r="B201" s="1" t="s">
        <v>65</v>
      </c>
    </row>
    <row r="202">
      <c r="A202" s="2">
        <v>46133.36875807871</v>
      </c>
      <c r="B202" s="1" t="s">
        <v>68</v>
      </c>
    </row>
    <row r="203">
      <c r="A203" s="2">
        <v>46133.6028172338</v>
      </c>
      <c r="B203" s="1" t="s">
        <v>229</v>
      </c>
    </row>
    <row r="204">
      <c r="A204" s="2">
        <v>46133.60283527778</v>
      </c>
      <c r="B204" s="1" t="s">
        <v>37</v>
      </c>
    </row>
    <row r="205">
      <c r="A205" s="2">
        <v>46133.602848090275</v>
      </c>
      <c r="B205" s="1" t="s">
        <v>53</v>
      </c>
    </row>
    <row r="206">
      <c r="A206" s="2">
        <v>46133.60404510416</v>
      </c>
      <c r="B206" s="1" t="s">
        <v>229</v>
      </c>
    </row>
    <row r="207">
      <c r="A207" s="2">
        <v>46133.60407181713</v>
      </c>
      <c r="B207" s="1" t="s">
        <v>65</v>
      </c>
    </row>
    <row r="208">
      <c r="A208" s="2">
        <v>46133.60408434027</v>
      </c>
      <c r="B208" s="1" t="s">
        <v>68</v>
      </c>
    </row>
    <row r="209">
      <c r="A209" s="2">
        <v>46133.639477881945</v>
      </c>
      <c r="B209" s="1" t="s">
        <v>226</v>
      </c>
    </row>
    <row r="210">
      <c r="A210" s="2">
        <v>46133.639497048614</v>
      </c>
      <c r="B210" s="1" t="s">
        <v>181</v>
      </c>
    </row>
    <row r="211">
      <c r="A211" s="2">
        <v>46133.63951458334</v>
      </c>
      <c r="B211" s="1" t="s">
        <v>183</v>
      </c>
    </row>
    <row r="212">
      <c r="A212" s="2">
        <v>46133.63961729167</v>
      </c>
      <c r="B212" s="1" t="s">
        <v>227</v>
      </c>
    </row>
    <row r="213">
      <c r="A213" s="2">
        <v>46133.639639664354</v>
      </c>
      <c r="B213" s="1" t="s">
        <v>181</v>
      </c>
    </row>
    <row r="214">
      <c r="A214" s="2">
        <v>46133.63965488426</v>
      </c>
      <c r="B214" s="1" t="s">
        <v>183</v>
      </c>
    </row>
    <row r="215">
      <c r="A215" s="2">
        <v>46133.63973982639</v>
      </c>
      <c r="B215" s="1" t="s">
        <v>228</v>
      </c>
    </row>
    <row r="216">
      <c r="A216" s="2">
        <v>46133.63976019676</v>
      </c>
      <c r="B216" s="1" t="s">
        <v>181</v>
      </c>
    </row>
    <row r="217">
      <c r="A217" s="2">
        <v>46133.639775578704</v>
      </c>
      <c r="B217" s="1" t="s">
        <v>183</v>
      </c>
    </row>
    <row r="218">
      <c r="A218" s="2">
        <v>46133.639888854166</v>
      </c>
      <c r="B218" s="1" t="s">
        <v>229</v>
      </c>
    </row>
    <row r="219">
      <c r="A219" s="2">
        <v>46133.63990239584</v>
      </c>
      <c r="B219" s="1" t="s">
        <v>181</v>
      </c>
    </row>
    <row r="220">
      <c r="A220" s="2">
        <v>46133.639909641206</v>
      </c>
      <c r="B220" s="1" t="s">
        <v>183</v>
      </c>
    </row>
    <row r="221">
      <c r="A221" s="2">
        <v>46133.640670810186</v>
      </c>
      <c r="B221" s="1" t="s">
        <v>226</v>
      </c>
    </row>
    <row r="222">
      <c r="A222" s="2">
        <v>46133.64069008102</v>
      </c>
      <c r="B222" s="1" t="s">
        <v>202</v>
      </c>
    </row>
    <row r="223">
      <c r="A223" s="2">
        <v>46133.640696608796</v>
      </c>
      <c r="B223" s="1" t="s">
        <v>204</v>
      </c>
    </row>
    <row r="224">
      <c r="A224" s="2">
        <v>46133.64086930556</v>
      </c>
      <c r="B224" s="1" t="s">
        <v>227</v>
      </c>
    </row>
    <row r="225">
      <c r="A225" s="2">
        <v>46133.64088121528</v>
      </c>
      <c r="B225" s="1" t="s">
        <v>162</v>
      </c>
    </row>
    <row r="226">
      <c r="A226" s="2">
        <v>46133.640888055554</v>
      </c>
      <c r="B226" s="1" t="s">
        <v>165</v>
      </c>
    </row>
    <row r="227">
      <c r="A227" s="2">
        <v>46133.64104287037</v>
      </c>
      <c r="B227" s="1" t="s">
        <v>228</v>
      </c>
    </row>
    <row r="228">
      <c r="A228" s="2">
        <v>46133.641074652776</v>
      </c>
      <c r="B228" s="1" t="s">
        <v>162</v>
      </c>
    </row>
    <row r="229">
      <c r="A229" s="2">
        <v>46133.64109446759</v>
      </c>
      <c r="B229" s="1" t="s">
        <v>165</v>
      </c>
    </row>
    <row r="230">
      <c r="A230" s="2">
        <v>46133.64127046296</v>
      </c>
      <c r="B230" s="1" t="s">
        <v>229</v>
      </c>
    </row>
    <row r="231">
      <c r="A231" s="2">
        <v>46133.64129195602</v>
      </c>
      <c r="B231" s="1" t="s">
        <v>162</v>
      </c>
    </row>
    <row r="232">
      <c r="A232" s="2">
        <v>46133.64129950231</v>
      </c>
      <c r="B232" s="1" t="s">
        <v>165</v>
      </c>
    </row>
    <row r="233">
      <c r="A233" s="2">
        <v>46134.44304424769</v>
      </c>
      <c r="B233" s="1" t="s">
        <v>236</v>
      </c>
    </row>
    <row r="234">
      <c r="A234" s="2">
        <v>46134.44307516204</v>
      </c>
      <c r="B234" s="1" t="s">
        <v>37</v>
      </c>
    </row>
    <row r="235">
      <c r="A235" s="2">
        <v>46134.44309881944</v>
      </c>
      <c r="B235" s="1" t="s">
        <v>53</v>
      </c>
    </row>
    <row r="236">
      <c r="A236" s="2">
        <v>46135.577957430556</v>
      </c>
      <c r="B236" s="1" t="s">
        <v>236</v>
      </c>
    </row>
    <row r="237">
      <c r="A237" s="2">
        <v>46135.57796577546</v>
      </c>
      <c r="B237" s="1" t="s">
        <v>65</v>
      </c>
    </row>
    <row r="238">
      <c r="A238" s="2">
        <v>46135.57797863426</v>
      </c>
      <c r="B238" s="1" t="s">
        <v>68</v>
      </c>
    </row>
    <row r="239">
      <c r="A239" s="2">
        <v>46135.581211770834</v>
      </c>
      <c r="B239" s="1" t="s">
        <v>237</v>
      </c>
    </row>
    <row r="240">
      <c r="A240" s="2">
        <v>46135.58121938657</v>
      </c>
      <c r="B240" s="1" t="s">
        <v>37</v>
      </c>
    </row>
    <row r="241">
      <c r="A241" s="2">
        <v>46135.58122385417</v>
      </c>
      <c r="B241" s="1" t="s">
        <v>53</v>
      </c>
    </row>
    <row r="242">
      <c r="A242" s="2">
        <v>46135.58535462963</v>
      </c>
      <c r="B242" s="1" t="s">
        <v>238</v>
      </c>
    </row>
    <row r="243">
      <c r="A243" s="2">
        <v>46135.585364189814</v>
      </c>
      <c r="B243" s="1" t="s">
        <v>37</v>
      </c>
    </row>
    <row r="244">
      <c r="A244" s="2">
        <v>46135.58537085648</v>
      </c>
      <c r="B244" s="1" t="s">
        <v>53</v>
      </c>
    </row>
    <row r="245">
      <c r="A245" s="2">
        <v>46135.58942335648</v>
      </c>
      <c r="B245" s="1" t="s">
        <v>238</v>
      </c>
    </row>
    <row r="246">
      <c r="A246" s="2">
        <v>46135.58943891204</v>
      </c>
      <c r="B246" s="1" t="s">
        <v>65</v>
      </c>
    </row>
    <row r="247">
      <c r="A247" s="2">
        <v>46135.58944782407</v>
      </c>
      <c r="B247" s="1" t="s">
        <v>68</v>
      </c>
    </row>
    <row r="248">
      <c r="A248" s="2">
        <v>46135.59028438658</v>
      </c>
      <c r="B248" s="1" t="s">
        <v>237</v>
      </c>
    </row>
    <row r="249">
      <c r="A249" s="2">
        <v>46135.59029565973</v>
      </c>
      <c r="B249" s="1" t="s">
        <v>65</v>
      </c>
    </row>
    <row r="250">
      <c r="A250" s="2">
        <v>46135.59029986111</v>
      </c>
      <c r="B250" s="1" t="s">
        <v>68</v>
      </c>
    </row>
    <row r="251">
      <c r="A251" s="2">
        <v>46135.594125972224</v>
      </c>
      <c r="B251" s="1" t="s">
        <v>236</v>
      </c>
    </row>
    <row r="252">
      <c r="A252" s="2">
        <v>46135.59413546296</v>
      </c>
      <c r="B252" s="1" t="s">
        <v>181</v>
      </c>
    </row>
    <row r="253">
      <c r="A253" s="2">
        <v>46135.594147881944</v>
      </c>
      <c r="B253" s="1" t="s">
        <v>183</v>
      </c>
    </row>
    <row r="254">
      <c r="A254" s="2">
        <v>46135.594218576385</v>
      </c>
      <c r="B254" s="1" t="s">
        <v>237</v>
      </c>
    </row>
    <row r="255">
      <c r="A255" s="2">
        <v>46135.594230057875</v>
      </c>
      <c r="B255" s="1" t="s">
        <v>181</v>
      </c>
    </row>
    <row r="256">
      <c r="A256" s="2">
        <v>46135.59423482639</v>
      </c>
      <c r="B256" s="1" t="s">
        <v>183</v>
      </c>
    </row>
    <row r="257">
      <c r="A257" s="2">
        <v>46135.594297777774</v>
      </c>
      <c r="B257" s="1" t="s">
        <v>238</v>
      </c>
    </row>
    <row r="258">
      <c r="A258" s="2">
        <v>46135.59431936343</v>
      </c>
      <c r="B258" s="1" t="s">
        <v>181</v>
      </c>
    </row>
    <row r="259">
      <c r="A259" s="2">
        <v>46135.594325162034</v>
      </c>
      <c r="B259" s="1" t="s">
        <v>183</v>
      </c>
    </row>
    <row r="260">
      <c r="A260" s="2">
        <v>46135.66108582176</v>
      </c>
      <c r="B260" s="1" t="s">
        <v>236</v>
      </c>
    </row>
    <row r="261">
      <c r="A261" s="2">
        <v>46135.6611100463</v>
      </c>
      <c r="B261" s="1" t="s">
        <v>221</v>
      </c>
    </row>
    <row r="262">
      <c r="A262" s="2">
        <v>46135.661119791665</v>
      </c>
      <c r="B262" s="1" t="s">
        <v>222</v>
      </c>
    </row>
    <row r="263">
      <c r="A263" s="2">
        <v>46135.66125226852</v>
      </c>
      <c r="B263" s="1" t="s">
        <v>237</v>
      </c>
    </row>
    <row r="264">
      <c r="A264" s="2">
        <v>46135.6612665162</v>
      </c>
      <c r="B264" s="1" t="s">
        <v>221</v>
      </c>
    </row>
    <row r="265">
      <c r="A265" s="2">
        <v>46135.66127240741</v>
      </c>
      <c r="B265" s="1" t="s">
        <v>222</v>
      </c>
    </row>
    <row r="266">
      <c r="A266" s="2">
        <v>46135.661575983795</v>
      </c>
      <c r="B266" s="1" t="s">
        <v>238</v>
      </c>
    </row>
    <row r="267">
      <c r="A267" s="2">
        <v>46135.66158864583</v>
      </c>
      <c r="B267" s="1" t="s">
        <v>162</v>
      </c>
    </row>
    <row r="268">
      <c r="A268" s="2">
        <v>46135.66159398148</v>
      </c>
      <c r="B268" s="1" t="s">
        <v>165</v>
      </c>
    </row>
    <row r="269">
      <c r="A269" s="2">
        <v>46136.41557165509</v>
      </c>
      <c r="B269" s="1" t="s">
        <v>239</v>
      </c>
    </row>
    <row r="270">
      <c r="A270" s="2">
        <v>46136.41559229167</v>
      </c>
      <c r="B270" s="1" t="s">
        <v>37</v>
      </c>
    </row>
    <row r="271">
      <c r="A271" s="2">
        <v>46136.415603622685</v>
      </c>
      <c r="B271" s="1" t="s">
        <v>53</v>
      </c>
    </row>
    <row r="272">
      <c r="A272" s="2">
        <v>46136.41890158565</v>
      </c>
      <c r="B272" s="1" t="s">
        <v>239</v>
      </c>
    </row>
    <row r="273">
      <c r="A273" s="2">
        <v>46136.41892465278</v>
      </c>
      <c r="B273" s="1" t="s">
        <v>65</v>
      </c>
    </row>
    <row r="274">
      <c r="A274" s="2">
        <v>46136.418933587964</v>
      </c>
      <c r="B274" s="1" t="s">
        <v>68</v>
      </c>
    </row>
    <row r="275">
      <c r="A275" s="2">
        <v>46139.62098153935</v>
      </c>
      <c r="B275" s="1" t="s">
        <v>240</v>
      </c>
    </row>
    <row r="276">
      <c r="A276" s="2">
        <v>46139.621010208335</v>
      </c>
      <c r="B276" s="1" t="s">
        <v>37</v>
      </c>
    </row>
    <row r="277">
      <c r="A277" s="2">
        <v>46139.621021875</v>
      </c>
      <c r="B277" s="1" t="s">
        <v>53</v>
      </c>
    </row>
    <row r="278">
      <c r="A278" s="2">
        <v>46140.45137394676</v>
      </c>
      <c r="B278" s="1" t="s">
        <v>241</v>
      </c>
    </row>
    <row r="279">
      <c r="A279" s="2">
        <v>46140.45140479167</v>
      </c>
      <c r="B279" s="1" t="s">
        <v>37</v>
      </c>
    </row>
    <row r="280">
      <c r="A280" s="2">
        <v>46140.451419351855</v>
      </c>
      <c r="B280" s="1" t="s">
        <v>53</v>
      </c>
    </row>
    <row r="281">
      <c r="A281" s="2">
        <v>46140.529522743054</v>
      </c>
      <c r="B281" s="1" t="s">
        <v>241</v>
      </c>
    </row>
    <row r="282">
      <c r="A282" s="2">
        <v>46140.52953885417</v>
      </c>
      <c r="B282" s="1" t="s">
        <v>65</v>
      </c>
    </row>
    <row r="283">
      <c r="A283" s="2">
        <v>46140.529545613426</v>
      </c>
      <c r="B283" s="1" t="s">
        <v>68</v>
      </c>
    </row>
    <row r="284">
      <c r="A284" s="2">
        <v>46140.52968208333</v>
      </c>
      <c r="B284" s="1" t="s">
        <v>240</v>
      </c>
    </row>
    <row r="285">
      <c r="A285" s="2">
        <v>46140.52969917824</v>
      </c>
      <c r="B285" s="1" t="s">
        <v>65</v>
      </c>
    </row>
    <row r="286">
      <c r="A286" s="2">
        <v>46140.52971225695</v>
      </c>
      <c r="B286" s="1" t="s">
        <v>68</v>
      </c>
    </row>
    <row r="287">
      <c r="A287" s="2">
        <v>46140.530801747685</v>
      </c>
      <c r="B287" s="1" t="s">
        <v>244</v>
      </c>
    </row>
    <row r="288">
      <c r="A288" s="2">
        <v>46140.53082680555</v>
      </c>
      <c r="B288" s="1" t="s">
        <v>37</v>
      </c>
    </row>
    <row r="289">
      <c r="A289" s="2">
        <v>46140.53083914352</v>
      </c>
      <c r="B289" s="1" t="s">
        <v>53</v>
      </c>
    </row>
    <row r="290">
      <c r="A290" s="2">
        <v>46140.53163096065</v>
      </c>
      <c r="B290" s="1" t="s">
        <v>244</v>
      </c>
    </row>
    <row r="291">
      <c r="A291" s="2">
        <v>46140.53164621528</v>
      </c>
      <c r="B291" s="1" t="s">
        <v>65</v>
      </c>
    </row>
    <row r="292">
      <c r="A292" s="2">
        <v>46140.531653530095</v>
      </c>
      <c r="B292" s="1" t="s">
        <v>68</v>
      </c>
    </row>
    <row r="293">
      <c r="A293" s="2">
        <v>46140.60233657407</v>
      </c>
      <c r="B293" s="1" t="s">
        <v>244</v>
      </c>
    </row>
    <row r="294">
      <c r="A294" s="2">
        <v>46140.602354710645</v>
      </c>
      <c r="B294" s="1" t="s">
        <v>181</v>
      </c>
    </row>
    <row r="295">
      <c r="A295" s="2">
        <v>46140.60235935185</v>
      </c>
      <c r="B295" s="1" t="s">
        <v>183</v>
      </c>
    </row>
    <row r="296">
      <c r="A296" s="2">
        <v>46140.60242894676</v>
      </c>
      <c r="B296" s="1" t="s">
        <v>241</v>
      </c>
    </row>
    <row r="297">
      <c r="A297" s="2">
        <v>46140.60244086805</v>
      </c>
      <c r="B297" s="1" t="s">
        <v>181</v>
      </c>
    </row>
    <row r="298">
      <c r="A298" s="2">
        <v>46140.602447627316</v>
      </c>
      <c r="B298" s="1" t="s">
        <v>183</v>
      </c>
    </row>
    <row r="299">
      <c r="A299" s="2">
        <v>46140.602527916664</v>
      </c>
      <c r="B299" s="1" t="s">
        <v>240</v>
      </c>
    </row>
    <row r="300">
      <c r="A300" s="2">
        <v>46140.60254501157</v>
      </c>
      <c r="B300" s="1" t="s">
        <v>181</v>
      </c>
    </row>
    <row r="301">
      <c r="A301" s="2">
        <v>46140.60256313658</v>
      </c>
      <c r="B301" s="1" t="s">
        <v>183</v>
      </c>
    </row>
    <row r="302">
      <c r="A302" s="2">
        <v>46140.60274540509</v>
      </c>
      <c r="B302" s="1" t="s">
        <v>239</v>
      </c>
    </row>
    <row r="303">
      <c r="A303" s="2">
        <v>46140.602757650464</v>
      </c>
      <c r="B303" s="1" t="s">
        <v>181</v>
      </c>
    </row>
    <row r="304">
      <c r="A304" s="2">
        <v>46140.60276376158</v>
      </c>
      <c r="B304" s="1" t="s">
        <v>183</v>
      </c>
    </row>
    <row r="305">
      <c r="A305" s="2">
        <v>46140.61365478009</v>
      </c>
      <c r="B305" s="1" t="s">
        <v>239</v>
      </c>
    </row>
    <row r="306">
      <c r="A306" s="2">
        <v>46140.61369138889</v>
      </c>
      <c r="B306" s="1" t="s">
        <v>78</v>
      </c>
    </row>
    <row r="307">
      <c r="A307" s="2">
        <v>46140.613707638884</v>
      </c>
      <c r="B307" s="1" t="s">
        <v>80</v>
      </c>
    </row>
    <row r="308">
      <c r="A308" s="2">
        <v>46140.61501686343</v>
      </c>
      <c r="B308" s="1" t="s">
        <v>240</v>
      </c>
    </row>
    <row r="309">
      <c r="A309" s="2">
        <v>46140.61504609954</v>
      </c>
      <c r="B309" s="1" t="s">
        <v>202</v>
      </c>
    </row>
    <row r="310">
      <c r="A310" s="2">
        <v>46140.6150684375</v>
      </c>
      <c r="B310" s="1" t="s">
        <v>204</v>
      </c>
    </row>
    <row r="311">
      <c r="A311" s="2">
        <v>46140.61543681713</v>
      </c>
      <c r="B311" s="1" t="s">
        <v>241</v>
      </c>
    </row>
    <row r="312">
      <c r="A312" s="2">
        <v>46140.61545302083</v>
      </c>
      <c r="B312" s="1" t="s">
        <v>202</v>
      </c>
    </row>
    <row r="313">
      <c r="A313" s="2">
        <v>46140.61546465278</v>
      </c>
      <c r="B313" s="1" t="s">
        <v>204</v>
      </c>
    </row>
    <row r="314">
      <c r="A314" s="2">
        <v>46140.61581265046</v>
      </c>
      <c r="B314" s="1" t="s">
        <v>244</v>
      </c>
    </row>
    <row r="315">
      <c r="A315" s="2">
        <v>46140.615831250005</v>
      </c>
      <c r="B315" s="1" t="s">
        <v>221</v>
      </c>
    </row>
    <row r="316">
      <c r="A316" s="2">
        <v>46140.61583866898</v>
      </c>
      <c r="B316" s="1" t="s">
        <v>222</v>
      </c>
    </row>
    <row r="317">
      <c r="A317" s="2">
        <v>46141.65639744213</v>
      </c>
      <c r="B317" s="1" t="s">
        <v>265</v>
      </c>
    </row>
    <row r="318">
      <c r="A318" s="2">
        <v>46141.65642825232</v>
      </c>
      <c r="B318" s="1" t="s">
        <v>37</v>
      </c>
    </row>
    <row r="319">
      <c r="A319" s="2">
        <v>46141.65643721065</v>
      </c>
      <c r="B319" s="1" t="s">
        <v>53</v>
      </c>
    </row>
    <row r="320">
      <c r="A320" s="2">
        <v>46142.41041027778</v>
      </c>
      <c r="B320" s="1" t="s">
        <v>265</v>
      </c>
    </row>
    <row r="321">
      <c r="A321" s="2">
        <v>46142.410424629634</v>
      </c>
      <c r="B321" s="1" t="s">
        <v>65</v>
      </c>
    </row>
    <row r="322">
      <c r="A322" s="2">
        <v>46142.41043459491</v>
      </c>
      <c r="B322" s="1" t="s">
        <v>68</v>
      </c>
    </row>
    <row r="323">
      <c r="A323" s="2">
        <v>46146.36218434028</v>
      </c>
      <c r="B323" s="1" t="s">
        <v>265</v>
      </c>
    </row>
    <row r="324">
      <c r="A324" s="2">
        <v>46146.36219987269</v>
      </c>
      <c r="B324" s="1" t="s">
        <v>181</v>
      </c>
    </row>
    <row r="325">
      <c r="A325" s="2">
        <v>46146.36220725694</v>
      </c>
      <c r="B325" s="1" t="s">
        <v>183</v>
      </c>
    </row>
    <row r="326">
      <c r="A326" s="2">
        <v>46146.36833611111</v>
      </c>
      <c r="B326" s="1" t="s">
        <v>265</v>
      </c>
    </row>
    <row r="327">
      <c r="A327" s="2">
        <v>46146.368352210644</v>
      </c>
      <c r="B327" s="1" t="s">
        <v>136</v>
      </c>
    </row>
    <row r="328">
      <c r="A328" s="2">
        <v>46146.368360277775</v>
      </c>
      <c r="B328" s="1" t="s">
        <v>141</v>
      </c>
    </row>
    <row r="329">
      <c r="A329" s="2">
        <v>46147.40992283565</v>
      </c>
      <c r="B329" s="1" t="s">
        <v>265</v>
      </c>
    </row>
    <row r="330">
      <c r="A330" s="2">
        <v>46147.40993525463</v>
      </c>
      <c r="B330" s="1" t="s">
        <v>136</v>
      </c>
    </row>
    <row r="331">
      <c r="A331" s="2">
        <v>46147.40994167824</v>
      </c>
      <c r="B331" s="1" t="s">
        <v>141</v>
      </c>
    </row>
    <row r="332">
      <c r="A332" s="2">
        <v>46148.51833277778</v>
      </c>
      <c r="B332" s="1" t="s">
        <v>279</v>
      </c>
    </row>
    <row r="333">
      <c r="A333" s="2">
        <v>46148.51834709491</v>
      </c>
      <c r="B333" s="1" t="s">
        <v>37</v>
      </c>
    </row>
    <row r="334">
      <c r="A334" s="2">
        <v>46148.51835428241</v>
      </c>
      <c r="B334" s="1" t="s">
        <v>53</v>
      </c>
    </row>
    <row r="335">
      <c r="A335" s="2">
        <v>46148.69257670139</v>
      </c>
      <c r="B335" s="1" t="s">
        <v>279</v>
      </c>
    </row>
    <row r="336">
      <c r="A336" s="2">
        <v>46148.69259177083</v>
      </c>
      <c r="B336" s="1" t="s">
        <v>283</v>
      </c>
    </row>
    <row r="337">
      <c r="A337" s="2">
        <v>46148.69259982639</v>
      </c>
      <c r="B337" s="1" t="s">
        <v>284</v>
      </c>
    </row>
    <row r="338">
      <c r="A338" s="2">
        <v>46149.71600353009</v>
      </c>
      <c r="B338" s="1" t="s">
        <v>239</v>
      </c>
    </row>
    <row r="339">
      <c r="A339" s="2">
        <v>46149.71602075231</v>
      </c>
      <c r="B339" s="1" t="s">
        <v>78</v>
      </c>
    </row>
    <row r="340">
      <c r="A340" s="2">
        <v>46149.71602883102</v>
      </c>
      <c r="B340" s="1" t="s">
        <v>80</v>
      </c>
    </row>
    <row r="341">
      <c r="A341" s="2">
        <v>46149.72968607639</v>
      </c>
      <c r="B341" s="1" t="s">
        <v>239</v>
      </c>
    </row>
    <row r="342">
      <c r="A342" s="2">
        <v>46149.72969818287</v>
      </c>
      <c r="B342" s="1" t="s">
        <v>78</v>
      </c>
    </row>
    <row r="343">
      <c r="A343" s="2">
        <v>46149.72970516204</v>
      </c>
      <c r="B343" s="1" t="s">
        <v>80</v>
      </c>
    </row>
    <row r="344">
      <c r="A344" s="2">
        <v>46150.6660162037</v>
      </c>
      <c r="B344" s="1" t="s">
        <v>387</v>
      </c>
    </row>
    <row r="345">
      <c r="A345" s="2">
        <v>46150.666029224536</v>
      </c>
      <c r="B345" s="1" t="s">
        <v>37</v>
      </c>
    </row>
    <row r="346">
      <c r="A346" s="2">
        <v>46150.666035567134</v>
      </c>
      <c r="B346" s="1" t="s">
        <v>53</v>
      </c>
    </row>
    <row r="347">
      <c r="A347" s="2">
        <v>46153.41089590278</v>
      </c>
      <c r="B347" s="1" t="s">
        <v>388</v>
      </c>
    </row>
    <row r="348">
      <c r="A348" s="2">
        <v>46153.41091234954</v>
      </c>
      <c r="B348" s="1" t="s">
        <v>37</v>
      </c>
    </row>
    <row r="349">
      <c r="A349" s="2">
        <v>46153.41092115741</v>
      </c>
      <c r="B349" s="1" t="s">
        <v>53</v>
      </c>
    </row>
    <row r="350">
      <c r="A350" s="2">
        <v>46153.43154841435</v>
      </c>
      <c r="B350" s="1" t="s">
        <v>391</v>
      </c>
    </row>
    <row r="351">
      <c r="A351" s="2">
        <v>46153.431560972225</v>
      </c>
      <c r="B351" s="1" t="s">
        <v>37</v>
      </c>
    </row>
    <row r="352">
      <c r="A352" s="2">
        <v>46153.431568472224</v>
      </c>
      <c r="B352" s="1" t="s">
        <v>53</v>
      </c>
    </row>
    <row r="353">
      <c r="A353" s="2">
        <v>46153.612051840275</v>
      </c>
      <c r="B353" s="1" t="s">
        <v>388</v>
      </c>
    </row>
    <row r="354">
      <c r="A354" s="2">
        <v>46153.61207186343</v>
      </c>
      <c r="B354" s="1" t="s">
        <v>283</v>
      </c>
    </row>
    <row r="355">
      <c r="A355" s="2">
        <v>46153.612078935184</v>
      </c>
      <c r="B355" s="1" t="s">
        <v>284</v>
      </c>
    </row>
    <row r="356">
      <c r="A356" s="2">
        <v>46153.612910173615</v>
      </c>
      <c r="B356" s="1" t="s">
        <v>387</v>
      </c>
    </row>
    <row r="357">
      <c r="A357" s="2">
        <v>46153.61292303241</v>
      </c>
      <c r="B357" s="1" t="s">
        <v>283</v>
      </c>
    </row>
    <row r="358">
      <c r="A358" s="2">
        <v>46153.61293087963</v>
      </c>
      <c r="B358" s="1" t="s">
        <v>284</v>
      </c>
    </row>
    <row r="359">
      <c r="A359" s="2">
        <v>46153.613831319446</v>
      </c>
      <c r="B359" s="1" t="s">
        <v>391</v>
      </c>
    </row>
    <row r="360">
      <c r="A360" s="2">
        <v>46153.613854131945</v>
      </c>
      <c r="B360" s="1" t="s">
        <v>283</v>
      </c>
    </row>
    <row r="361">
      <c r="A361" s="2">
        <v>46153.61386596065</v>
      </c>
      <c r="B361" s="1" t="s">
        <v>284</v>
      </c>
    </row>
    <row r="362">
      <c r="A362" s="2">
        <v>46154.4683209838</v>
      </c>
      <c r="B362" s="1" t="s">
        <v>404</v>
      </c>
    </row>
    <row r="363">
      <c r="A363" s="2">
        <v>46154.46833092593</v>
      </c>
      <c r="B363" s="1" t="s">
        <v>37</v>
      </c>
    </row>
    <row r="364">
      <c r="A364" s="2">
        <v>46154.46834219908</v>
      </c>
      <c r="B364" s="1" t="s">
        <v>53</v>
      </c>
    </row>
    <row r="365">
      <c r="A365" s="2">
        <v>46154.481149189814</v>
      </c>
      <c r="B365" s="1" t="s">
        <v>404</v>
      </c>
    </row>
    <row r="366">
      <c r="A366" s="2">
        <v>46154.48116793981</v>
      </c>
      <c r="B366" s="1" t="s">
        <v>283</v>
      </c>
    </row>
    <row r="367">
      <c r="A367" s="2">
        <v>46154.48117759259</v>
      </c>
      <c r="B367" s="1" t="s">
        <v>284</v>
      </c>
    </row>
    <row r="368">
      <c r="A368" s="2">
        <v>46154.4812088426</v>
      </c>
      <c r="B368" s="1" t="s">
        <v>387</v>
      </c>
    </row>
    <row r="369">
      <c r="A369" s="2">
        <v>46154.481237685184</v>
      </c>
      <c r="B369" s="1" t="s">
        <v>202</v>
      </c>
    </row>
    <row r="370">
      <c r="A370" s="2">
        <v>46154.48124894676</v>
      </c>
      <c r="B370" s="1" t="s">
        <v>204</v>
      </c>
    </row>
    <row r="371">
      <c r="A371" s="2">
        <v>46154.48159618056</v>
      </c>
      <c r="B371" s="1" t="s">
        <v>279</v>
      </c>
    </row>
    <row r="372">
      <c r="A372" s="2">
        <v>46154.48161202546</v>
      </c>
      <c r="B372" s="1" t="s">
        <v>202</v>
      </c>
    </row>
    <row r="373">
      <c r="A373" s="2">
        <v>46154.48162002314</v>
      </c>
      <c r="B373" s="1" t="s">
        <v>204</v>
      </c>
    </row>
    <row r="374">
      <c r="A374" s="2">
        <v>46154.482381469905</v>
      </c>
      <c r="B374" s="1" t="s">
        <v>391</v>
      </c>
    </row>
    <row r="375">
      <c r="A375" s="2">
        <v>46154.48239866898</v>
      </c>
      <c r="B375" s="1" t="s">
        <v>78</v>
      </c>
    </row>
    <row r="376">
      <c r="A376" s="2">
        <v>46154.48240491898</v>
      </c>
      <c r="B376" s="1" t="s">
        <v>80</v>
      </c>
    </row>
    <row r="377">
      <c r="A377" s="2">
        <v>46154.48259184028</v>
      </c>
      <c r="B377" s="1" t="s">
        <v>388</v>
      </c>
    </row>
    <row r="378">
      <c r="A378" s="2">
        <v>46154.48262425926</v>
      </c>
      <c r="B378" s="1" t="s">
        <v>78</v>
      </c>
    </row>
    <row r="379">
      <c r="A379" s="2">
        <v>46154.48263511574</v>
      </c>
      <c r="B379" s="1" t="s">
        <v>80</v>
      </c>
    </row>
    <row r="380">
      <c r="A380" s="2">
        <v>46155.45500423611</v>
      </c>
      <c r="B380" s="1" t="s">
        <v>404</v>
      </c>
    </row>
    <row r="381">
      <c r="A381" s="2">
        <v>46155.455042685186</v>
      </c>
      <c r="B381" s="1" t="s">
        <v>202</v>
      </c>
    </row>
    <row r="382">
      <c r="A382" s="2">
        <v>46155.45507127314</v>
      </c>
      <c r="B382" s="1" t="s">
        <v>204</v>
      </c>
    </row>
    <row r="383">
      <c r="A383" s="2">
        <v>46155.48535984954</v>
      </c>
      <c r="B383" s="1" t="s">
        <v>421</v>
      </c>
    </row>
    <row r="384">
      <c r="A384" s="2">
        <v>46155.485376875</v>
      </c>
      <c r="B384" s="1" t="s">
        <v>37</v>
      </c>
    </row>
    <row r="385">
      <c r="A385" s="2">
        <v>46155.48538297454</v>
      </c>
      <c r="B385" s="1" t="s">
        <v>53</v>
      </c>
    </row>
    <row r="386">
      <c r="A386" s="2">
        <v>46156.411476574074</v>
      </c>
      <c r="B386" s="1" t="s">
        <v>421</v>
      </c>
    </row>
    <row r="387">
      <c r="A387" s="2">
        <v>46156.41149266204</v>
      </c>
      <c r="B387" s="1" t="s">
        <v>283</v>
      </c>
    </row>
    <row r="388">
      <c r="A388" s="2">
        <v>46156.41149778935</v>
      </c>
      <c r="B388" s="1" t="s">
        <v>284</v>
      </c>
    </row>
    <row r="389">
      <c r="A389" s="2">
        <v>46156.41884883102</v>
      </c>
      <c r="B389" s="1" t="s">
        <v>427</v>
      </c>
    </row>
    <row r="390">
      <c r="A390" s="2">
        <v>46156.418879641205</v>
      </c>
      <c r="B390" s="1" t="s">
        <v>37</v>
      </c>
    </row>
    <row r="391">
      <c r="A391" s="2">
        <v>46156.418889629625</v>
      </c>
      <c r="B391" s="1" t="s">
        <v>53</v>
      </c>
    </row>
    <row r="392">
      <c r="A392" s="2">
        <v>46157.37920256944</v>
      </c>
      <c r="B392" s="1" t="s">
        <v>427</v>
      </c>
    </row>
    <row r="393">
      <c r="A393" s="2">
        <v>46157.37922729166</v>
      </c>
      <c r="B393" s="1" t="s">
        <v>151</v>
      </c>
    </row>
    <row r="394">
      <c r="A394" s="2">
        <v>46157.379238634254</v>
      </c>
      <c r="B394" s="1" t="s">
        <v>153</v>
      </c>
    </row>
    <row r="395">
      <c r="A395" s="2">
        <v>46157.37959677083</v>
      </c>
      <c r="B395" s="1" t="s">
        <v>421</v>
      </c>
    </row>
    <row r="396">
      <c r="A396" s="2">
        <v>46157.37961537037</v>
      </c>
      <c r="B396" s="1" t="s">
        <v>202</v>
      </c>
    </row>
    <row r="397">
      <c r="A397" s="2">
        <v>46157.37962364583</v>
      </c>
      <c r="B397" s="1" t="s">
        <v>204</v>
      </c>
    </row>
    <row r="398">
      <c r="A398" s="2">
        <v>46157.39473155093</v>
      </c>
      <c r="B398" s="1" t="s">
        <v>427</v>
      </c>
    </row>
    <row r="399">
      <c r="A399" s="2">
        <v>46157.394753263885</v>
      </c>
      <c r="B399" s="1" t="s">
        <v>283</v>
      </c>
    </row>
    <row r="400">
      <c r="A400" s="2">
        <v>46157.39476471065</v>
      </c>
      <c r="B400" s="1" t="s">
        <v>284</v>
      </c>
    </row>
    <row r="401">
      <c r="A401" s="2">
        <v>46157.57084083333</v>
      </c>
      <c r="B401" s="1" t="s">
        <v>436</v>
      </c>
    </row>
    <row r="402">
      <c r="A402" s="2">
        <v>46157.57085320602</v>
      </c>
      <c r="B402" s="1" t="s">
        <v>37</v>
      </c>
    </row>
    <row r="403">
      <c r="A403" s="2">
        <v>46157.57086125</v>
      </c>
      <c r="B403" s="1" t="s">
        <v>53</v>
      </c>
    </row>
    <row r="404">
      <c r="A404" s="2">
        <v>46157.573008935185</v>
      </c>
      <c r="B404" s="1" t="s">
        <v>436</v>
      </c>
    </row>
    <row r="405">
      <c r="A405" s="2">
        <v>46157.57303013889</v>
      </c>
      <c r="B405" s="1" t="s">
        <v>283</v>
      </c>
    </row>
    <row r="406">
      <c r="A406" s="2">
        <v>46157.57304033564</v>
      </c>
      <c r="B406" s="1" t="s">
        <v>284</v>
      </c>
    </row>
    <row r="407">
      <c r="A407" s="2">
        <v>46161.467798854166</v>
      </c>
      <c r="B407" s="1" t="s">
        <v>427</v>
      </c>
    </row>
    <row r="408">
      <c r="A408" s="2">
        <v>46161.467822025465</v>
      </c>
      <c r="B408" s="1" t="s">
        <v>151</v>
      </c>
    </row>
    <row r="409">
      <c r="A409" s="2">
        <v>46161.467836446755</v>
      </c>
      <c r="B409" s="1" t="s">
        <v>153</v>
      </c>
    </row>
    <row r="410">
      <c r="A410" s="2">
        <v>46161.46798207176</v>
      </c>
      <c r="B410" s="1" t="s">
        <v>436</v>
      </c>
    </row>
    <row r="411">
      <c r="A411" s="2">
        <v>46161.46800792824</v>
      </c>
      <c r="B411" s="1" t="s">
        <v>136</v>
      </c>
    </row>
    <row r="412">
      <c r="A412" s="2">
        <v>46161.46802572916</v>
      </c>
      <c r="B412" s="1" t="s">
        <v>141</v>
      </c>
    </row>
    <row r="413">
      <c r="A413" s="2">
        <v>46161.61885238426</v>
      </c>
      <c r="B413" s="1" t="s">
        <v>453</v>
      </c>
    </row>
    <row r="414">
      <c r="A414" s="2">
        <v>46161.618896712964</v>
      </c>
      <c r="B414" s="1" t="s">
        <v>37</v>
      </c>
    </row>
    <row r="415">
      <c r="A415" s="2">
        <v>46161.618911840276</v>
      </c>
      <c r="B415" s="1" t="s">
        <v>53</v>
      </c>
    </row>
    <row r="416">
      <c r="A416" s="2">
        <v>46161.622629618054</v>
      </c>
      <c r="B416" s="1" t="s">
        <v>453</v>
      </c>
    </row>
    <row r="417">
      <c r="A417" s="2">
        <v>46161.62267199074</v>
      </c>
      <c r="B417" s="1" t="s">
        <v>283</v>
      </c>
    </row>
    <row r="418">
      <c r="A418" s="2">
        <v>46161.622689930555</v>
      </c>
      <c r="B418" s="1" t="s">
        <v>284</v>
      </c>
    </row>
    <row r="419">
      <c r="A419" s="2">
        <v>46161.63003181713</v>
      </c>
      <c r="B419" s="1" t="s">
        <v>453</v>
      </c>
    </row>
    <row r="420">
      <c r="A420" s="2">
        <v>46161.63005450231</v>
      </c>
      <c r="B420" s="1" t="s">
        <v>202</v>
      </c>
    </row>
    <row r="421">
      <c r="A421" s="2">
        <v>46161.63007481481</v>
      </c>
      <c r="B421" s="1" t="s">
        <v>204</v>
      </c>
    </row>
    <row r="422">
      <c r="A422" s="2">
        <v>46161.63126364583</v>
      </c>
      <c r="B422" s="1" t="s">
        <v>464</v>
      </c>
    </row>
    <row r="423">
      <c r="A423" s="2">
        <v>46161.63129222222</v>
      </c>
      <c r="B423" s="1" t="s">
        <v>37</v>
      </c>
    </row>
    <row r="424">
      <c r="A424" s="2">
        <v>46161.63131512731</v>
      </c>
      <c r="B424" s="1" t="s">
        <v>53</v>
      </c>
    </row>
    <row r="425">
      <c r="A425" s="2">
        <v>46161.64883908565</v>
      </c>
      <c r="B425" s="1" t="s">
        <v>464</v>
      </c>
    </row>
    <row r="426">
      <c r="A426" s="2">
        <v>46161.64886071759</v>
      </c>
      <c r="B426" s="1" t="s">
        <v>283</v>
      </c>
    </row>
    <row r="427">
      <c r="A427" s="2">
        <v>46161.6488691088</v>
      </c>
      <c r="B427" s="1" t="s">
        <v>284</v>
      </c>
    </row>
    <row r="428">
      <c r="A428" s="2">
        <v>46163.4628944213</v>
      </c>
      <c r="B428" s="1" t="s">
        <v>468</v>
      </c>
    </row>
    <row r="429">
      <c r="A429" s="2">
        <v>46163.462912800926</v>
      </c>
      <c r="B429" s="1" t="s">
        <v>37</v>
      </c>
    </row>
    <row r="430">
      <c r="A430" s="2">
        <v>46163.462928078705</v>
      </c>
      <c r="B430" s="1" t="s">
        <v>53</v>
      </c>
    </row>
    <row r="431">
      <c r="A431" s="2">
        <v>46164.630151527774</v>
      </c>
      <c r="B431" s="1" t="s">
        <v>473</v>
      </c>
    </row>
    <row r="432">
      <c r="A432" s="2">
        <v>46164.63017380787</v>
      </c>
      <c r="B432" s="1" t="s">
        <v>37</v>
      </c>
    </row>
    <row r="433">
      <c r="A433" s="2">
        <v>46164.63018033565</v>
      </c>
      <c r="B433" s="1" t="s">
        <v>53</v>
      </c>
    </row>
    <row r="434">
      <c r="A434" s="2">
        <v>46164.644448541665</v>
      </c>
      <c r="B434" s="1" t="s">
        <v>468</v>
      </c>
    </row>
    <row r="435">
      <c r="A435" s="2">
        <v>46164.644460208336</v>
      </c>
      <c r="B435" s="1" t="s">
        <v>283</v>
      </c>
    </row>
    <row r="436">
      <c r="A436" s="2">
        <v>46164.644466620375</v>
      </c>
      <c r="B436" s="1" t="s">
        <v>284</v>
      </c>
    </row>
    <row r="437">
      <c r="A437" s="2">
        <v>46164.64494997685</v>
      </c>
      <c r="B437" s="1" t="s">
        <v>473</v>
      </c>
    </row>
    <row r="438">
      <c r="A438" s="2">
        <v>46164.64496189815</v>
      </c>
      <c r="B438" s="1" t="s">
        <v>283</v>
      </c>
    </row>
    <row r="439">
      <c r="A439" s="2">
        <v>46164.64497140046</v>
      </c>
      <c r="B439" s="1" t="s">
        <v>284</v>
      </c>
    </row>
    <row r="440">
      <c r="A440" s="2">
        <v>46164.6450743287</v>
      </c>
      <c r="B440" s="1" t="s">
        <v>473</v>
      </c>
    </row>
    <row r="441">
      <c r="A441" s="2">
        <v>46164.64508474537</v>
      </c>
      <c r="B441" s="1" t="s">
        <v>283</v>
      </c>
    </row>
    <row r="442">
      <c r="A442" s="2">
        <v>46164.64509081018</v>
      </c>
      <c r="B442" s="1" t="s">
        <v>284</v>
      </c>
    </row>
    <row r="443">
      <c r="A443" s="2">
        <v>46167.71717611111</v>
      </c>
      <c r="B443" s="1" t="s">
        <v>464</v>
      </c>
    </row>
    <row r="444">
      <c r="A444" s="2">
        <v>46167.717191435186</v>
      </c>
      <c r="B444" s="1" t="s">
        <v>202</v>
      </c>
    </row>
    <row r="445">
      <c r="A445" s="2">
        <v>46167.71720020833</v>
      </c>
      <c r="B445" s="1" t="s">
        <v>204</v>
      </c>
    </row>
    <row r="446">
      <c r="A446" s="2">
        <v>46167.71750550926</v>
      </c>
      <c r="B446" s="1" t="s">
        <v>468</v>
      </c>
    </row>
    <row r="447">
      <c r="A447" s="2">
        <v>46167.71756667824</v>
      </c>
      <c r="B447" s="1" t="s">
        <v>479</v>
      </c>
    </row>
    <row r="448">
      <c r="A448" s="2">
        <v>46167.717573842594</v>
      </c>
      <c r="B448" s="1" t="s">
        <v>480</v>
      </c>
    </row>
    <row r="449">
      <c r="A449" s="2">
        <v>46167.71770466435</v>
      </c>
      <c r="B449" s="1" t="s">
        <v>473</v>
      </c>
    </row>
    <row r="450">
      <c r="A450" s="2">
        <v>46167.71771890046</v>
      </c>
      <c r="B450" s="1" t="s">
        <v>202</v>
      </c>
    </row>
    <row r="451">
      <c r="A451" s="2">
        <v>46167.71772526621</v>
      </c>
      <c r="B451" s="1" t="s">
        <v>204</v>
      </c>
    </row>
    <row r="452">
      <c r="A452" s="2">
        <v>46168.424550497686</v>
      </c>
      <c r="B452" s="1" t="s">
        <v>473</v>
      </c>
    </row>
    <row r="453">
      <c r="A453" s="2">
        <v>46168.42456125</v>
      </c>
      <c r="B453" s="1" t="s">
        <v>202</v>
      </c>
    </row>
    <row r="454">
      <c r="A454" s="2">
        <v>46168.424567696755</v>
      </c>
      <c r="B454" s="1" t="s">
        <v>204</v>
      </c>
    </row>
    <row r="455">
      <c r="A455" s="2">
        <v>46168.42488826389</v>
      </c>
      <c r="B455" s="1" t="s">
        <v>464</v>
      </c>
    </row>
    <row r="456">
      <c r="A456" s="2">
        <v>46168.424922129634</v>
      </c>
      <c r="B456" s="1" t="s">
        <v>202</v>
      </c>
    </row>
    <row r="457">
      <c r="A457" s="2">
        <v>46168.424934282404</v>
      </c>
      <c r="B457" s="1" t="s">
        <v>204</v>
      </c>
    </row>
    <row r="458">
      <c r="A458" s="2">
        <v>46168.42532708333</v>
      </c>
      <c r="B458" s="1" t="s">
        <v>468</v>
      </c>
    </row>
    <row r="459">
      <c r="A459" s="2">
        <v>46168.4253559375</v>
      </c>
      <c r="B459" s="1" t="s">
        <v>479</v>
      </c>
    </row>
    <row r="460">
      <c r="A460" s="2">
        <v>46168.42536664352</v>
      </c>
      <c r="B460" s="1" t="s">
        <v>480</v>
      </c>
    </row>
    <row r="461">
      <c r="A461" s="2">
        <v>46168.55761275463</v>
      </c>
      <c r="B461" s="1" t="s">
        <v>498</v>
      </c>
    </row>
    <row r="462">
      <c r="A462" s="2">
        <v>46168.55762553241</v>
      </c>
      <c r="B462" s="1" t="s">
        <v>37</v>
      </c>
    </row>
    <row r="463">
      <c r="A463" s="2">
        <v>46168.55763214121</v>
      </c>
      <c r="B463" s="1" t="s">
        <v>53</v>
      </c>
    </row>
    <row r="464">
      <c r="A464" s="2">
        <v>46169.71965951389</v>
      </c>
      <c r="B464" s="1" t="s">
        <v>504</v>
      </c>
    </row>
    <row r="465">
      <c r="A465" s="2">
        <v>46169.719684270836</v>
      </c>
      <c r="B465" s="1" t="s">
        <v>37</v>
      </c>
    </row>
    <row r="466">
      <c r="A466" s="2">
        <v>46169.71969383102</v>
      </c>
      <c r="B466" s="1" t="s">
        <v>53</v>
      </c>
    </row>
    <row r="467">
      <c r="A467" s="2">
        <v>46169.76381805555</v>
      </c>
      <c r="B467" s="1" t="s">
        <v>508</v>
      </c>
    </row>
    <row r="468">
      <c r="A468" s="2">
        <v>46169.763833634264</v>
      </c>
      <c r="B468" s="1" t="s">
        <v>37</v>
      </c>
    </row>
    <row r="469">
      <c r="A469" s="2">
        <v>46169.76384219907</v>
      </c>
      <c r="B469" s="1" t="s">
        <v>53</v>
      </c>
    </row>
    <row r="470">
      <c r="A470" s="2">
        <v>46170.64022357639</v>
      </c>
      <c r="B470" s="1" t="s">
        <v>513</v>
      </c>
    </row>
    <row r="471">
      <c r="A471" s="2">
        <v>46170.64024596065</v>
      </c>
      <c r="B471" s="1" t="s">
        <v>37</v>
      </c>
    </row>
    <row r="472">
      <c r="A472" s="2">
        <v>46170.640269641204</v>
      </c>
      <c r="B472" s="1" t="s">
        <v>53</v>
      </c>
    </row>
    <row r="473">
      <c r="A473" s="2">
        <v>46170.69543798611</v>
      </c>
      <c r="B473" s="1" t="s">
        <v>498</v>
      </c>
    </row>
    <row r="474">
      <c r="A474" s="2">
        <v>46170.6954696412</v>
      </c>
      <c r="B474" s="1" t="s">
        <v>283</v>
      </c>
    </row>
    <row r="475">
      <c r="A475" s="2">
        <v>46170.69548040509</v>
      </c>
      <c r="B475" s="1" t="s">
        <v>284</v>
      </c>
    </row>
    <row r="476">
      <c r="A476" s="2">
        <v>46170.696139085645</v>
      </c>
      <c r="B476" s="1" t="s">
        <v>504</v>
      </c>
    </row>
    <row r="477">
      <c r="A477" s="2">
        <v>46170.69616594908</v>
      </c>
      <c r="B477" s="1" t="s">
        <v>283</v>
      </c>
    </row>
    <row r="478">
      <c r="A478" s="2">
        <v>46170.69617494213</v>
      </c>
      <c r="B478" s="1" t="s">
        <v>284</v>
      </c>
    </row>
    <row r="479">
      <c r="A479" s="2">
        <v>46174.67817520833</v>
      </c>
      <c r="B479" s="1" t="s">
        <v>508</v>
      </c>
    </row>
    <row r="480">
      <c r="A480" s="2">
        <v>46174.678185613426</v>
      </c>
      <c r="B480" s="1" t="s">
        <v>283</v>
      </c>
    </row>
    <row r="481">
      <c r="A481" s="2">
        <v>46174.678192974534</v>
      </c>
      <c r="B481" s="1" t="s">
        <v>284</v>
      </c>
    </row>
    <row r="482">
      <c r="A482" s="2">
        <v>46174.682779016206</v>
      </c>
      <c r="B482" s="1" t="s">
        <v>524</v>
      </c>
    </row>
    <row r="483">
      <c r="A483" s="2">
        <v>46174.68280037037</v>
      </c>
      <c r="B483" s="1" t="s">
        <v>37</v>
      </c>
    </row>
    <row r="484">
      <c r="A484" s="2">
        <v>46174.68283921297</v>
      </c>
      <c r="B484" s="1" t="s">
        <v>53</v>
      </c>
    </row>
    <row r="485">
      <c r="A485" s="2">
        <v>46174.68350010416</v>
      </c>
      <c r="B485" s="1" t="s">
        <v>524</v>
      </c>
    </row>
    <row r="486">
      <c r="A486" s="2">
        <v>46174.68351890046</v>
      </c>
      <c r="B486" s="1" t="s">
        <v>283</v>
      </c>
    </row>
    <row r="487">
      <c r="A487" s="2">
        <v>46174.683537372686</v>
      </c>
      <c r="B487" s="1" t="s">
        <v>284</v>
      </c>
    </row>
    <row r="488">
      <c r="A488" s="2">
        <v>46174.719682361116</v>
      </c>
      <c r="B488" s="1" t="s">
        <v>529</v>
      </c>
    </row>
    <row r="489">
      <c r="A489" s="2">
        <v>46174.7197246875</v>
      </c>
      <c r="B489" s="1" t="s">
        <v>37</v>
      </c>
    </row>
    <row r="490">
      <c r="A490" s="2">
        <v>46174.71973758102</v>
      </c>
      <c r="B490" s="1" t="s">
        <v>53</v>
      </c>
    </row>
    <row r="491">
      <c r="A491" s="2">
        <v>46174.72693347222</v>
      </c>
      <c r="B491" s="1" t="s">
        <v>529</v>
      </c>
    </row>
    <row r="492">
      <c r="A492" s="2">
        <v>46174.7269525463</v>
      </c>
      <c r="B492" s="1" t="s">
        <v>283</v>
      </c>
    </row>
    <row r="493">
      <c r="A493" s="2">
        <v>46174.72696144676</v>
      </c>
      <c r="B493" s="1" t="s">
        <v>284</v>
      </c>
    </row>
    <row r="494">
      <c r="A494" s="2">
        <v>46177.38789744213</v>
      </c>
      <c r="B494" s="1" t="s">
        <v>536</v>
      </c>
    </row>
    <row r="495">
      <c r="A495" s="2">
        <v>46177.38791041667</v>
      </c>
      <c r="B495" s="1" t="s">
        <v>37</v>
      </c>
    </row>
    <row r="496">
      <c r="A496" s="2">
        <v>46177.38791680556</v>
      </c>
      <c r="B496" s="1" t="s">
        <v>53</v>
      </c>
    </row>
    <row r="497">
      <c r="A497" s="2">
        <v>46177.64238748843</v>
      </c>
      <c r="B497" s="1" t="s">
        <v>536</v>
      </c>
    </row>
    <row r="498">
      <c r="A498" s="2">
        <v>46177.642407708336</v>
      </c>
      <c r="B498" s="1" t="s">
        <v>283</v>
      </c>
    </row>
    <row r="499">
      <c r="A499" s="2">
        <v>46177.64241299768</v>
      </c>
      <c r="B499" s="1" t="s">
        <v>284</v>
      </c>
    </row>
    <row r="500">
      <c r="A500" s="2">
        <v>46183.586990358795</v>
      </c>
      <c r="B500" s="1" t="s">
        <v>544</v>
      </c>
    </row>
    <row r="501">
      <c r="A501" s="2">
        <v>46183.58701671296</v>
      </c>
      <c r="B501" s="1" t="s">
        <v>37</v>
      </c>
    </row>
    <row r="502">
      <c r="A502" s="2">
        <v>46183.587039756945</v>
      </c>
      <c r="B502" s="1" t="s">
        <v>53</v>
      </c>
    </row>
    <row r="503">
      <c r="A503" s="2">
        <v>46183.68644626158</v>
      </c>
      <c r="B503" s="1" t="s">
        <v>549</v>
      </c>
    </row>
    <row r="504">
      <c r="A504" s="2">
        <v>46183.68646747685</v>
      </c>
      <c r="B504" s="1" t="s">
        <v>37</v>
      </c>
    </row>
    <row r="505">
      <c r="A505" s="2">
        <v>46183.686480034725</v>
      </c>
      <c r="B505" s="1" t="s">
        <v>53</v>
      </c>
    </row>
    <row r="506">
      <c r="A506" s="2">
        <v>46184.55798295139</v>
      </c>
      <c r="B506" s="1" t="s">
        <v>513</v>
      </c>
    </row>
    <row r="507">
      <c r="A507" s="2">
        <v>46184.558009456014</v>
      </c>
      <c r="B507" s="1" t="s">
        <v>283</v>
      </c>
    </row>
    <row r="508">
      <c r="A508" s="2">
        <v>46184.55802542824</v>
      </c>
      <c r="B508" s="1" t="s">
        <v>284</v>
      </c>
    </row>
    <row r="509">
      <c r="A509" s="2">
        <v>46184.55846965278</v>
      </c>
      <c r="B509" s="1" t="s">
        <v>544</v>
      </c>
    </row>
    <row r="510">
      <c r="A510" s="2">
        <v>46184.55849618056</v>
      </c>
      <c r="B510" s="1" t="s">
        <v>283</v>
      </c>
    </row>
    <row r="511">
      <c r="A511" s="2">
        <v>46184.55850555556</v>
      </c>
      <c r="B511" s="1" t="s">
        <v>284</v>
      </c>
    </row>
    <row r="512">
      <c r="A512" s="2">
        <v>46184.5586624537</v>
      </c>
      <c r="B512" s="1" t="s">
        <v>549</v>
      </c>
    </row>
    <row r="513">
      <c r="A513" s="2">
        <v>46184.55867430556</v>
      </c>
      <c r="B513" s="1" t="s">
        <v>283</v>
      </c>
    </row>
    <row r="514">
      <c r="A514" s="2">
        <v>46184.55867908565</v>
      </c>
      <c r="B514" s="1" t="s">
        <v>284</v>
      </c>
    </row>
    <row r="515">
      <c r="A515" s="2">
        <v>46184.60722866898</v>
      </c>
      <c r="B515" s="1" t="s">
        <v>498</v>
      </c>
    </row>
    <row r="516">
      <c r="A516" s="2">
        <v>46184.60724783565</v>
      </c>
      <c r="B516" s="1" t="s">
        <v>181</v>
      </c>
    </row>
    <row r="517">
      <c r="A517" s="2">
        <v>46184.60725609954</v>
      </c>
      <c r="B517" s="1" t="s">
        <v>183</v>
      </c>
    </row>
    <row r="518">
      <c r="A518" s="2">
        <v>46184.60740538195</v>
      </c>
      <c r="B518" s="1" t="s">
        <v>504</v>
      </c>
    </row>
    <row r="519">
      <c r="A519" s="2">
        <v>46184.607420127315</v>
      </c>
      <c r="B519" s="1" t="s">
        <v>181</v>
      </c>
    </row>
    <row r="520">
      <c r="A520" s="2">
        <v>46184.60742732639</v>
      </c>
      <c r="B520" s="1" t="s">
        <v>183</v>
      </c>
    </row>
    <row r="521">
      <c r="A521" s="2">
        <v>46184.607609108796</v>
      </c>
      <c r="B521" s="1" t="s">
        <v>508</v>
      </c>
    </row>
    <row r="522">
      <c r="A522" s="2">
        <v>46184.60772263889</v>
      </c>
      <c r="B522" s="1" t="s">
        <v>181</v>
      </c>
    </row>
    <row r="523">
      <c r="A523" s="2">
        <v>46184.60784611111</v>
      </c>
      <c r="B523" s="1" t="s">
        <v>183</v>
      </c>
    </row>
    <row r="524">
      <c r="A524" s="2">
        <v>46184.60816454861</v>
      </c>
      <c r="B524" s="1" t="s">
        <v>513</v>
      </c>
    </row>
    <row r="525">
      <c r="A525" s="2">
        <v>46184.6083009375</v>
      </c>
      <c r="B525" s="1" t="s">
        <v>181</v>
      </c>
    </row>
    <row r="526">
      <c r="A526" s="2">
        <v>46184.60831488426</v>
      </c>
      <c r="B526" s="1" t="s">
        <v>183</v>
      </c>
    </row>
    <row r="527">
      <c r="A527" s="2">
        <v>46184.60843212963</v>
      </c>
      <c r="B527" s="1" t="s">
        <v>524</v>
      </c>
    </row>
    <row r="528">
      <c r="A528" s="2">
        <v>46184.60844625</v>
      </c>
      <c r="B528" s="1" t="s">
        <v>181</v>
      </c>
    </row>
    <row r="529">
      <c r="A529" s="2">
        <v>46184.60847494213</v>
      </c>
      <c r="B529" s="1" t="s">
        <v>183</v>
      </c>
    </row>
    <row r="530">
      <c r="A530" s="2">
        <v>46184.60891065972</v>
      </c>
      <c r="B530" s="1" t="s">
        <v>549</v>
      </c>
    </row>
    <row r="531">
      <c r="A531" s="2">
        <v>46184.608931145835</v>
      </c>
      <c r="B531" s="1" t="s">
        <v>181</v>
      </c>
    </row>
    <row r="532">
      <c r="A532" s="2">
        <v>46184.60893912037</v>
      </c>
      <c r="B532" s="1" t="s">
        <v>183</v>
      </c>
    </row>
    <row r="533">
      <c r="A533" s="2">
        <v>46184.60902726852</v>
      </c>
      <c r="B533" s="1" t="s">
        <v>529</v>
      </c>
    </row>
    <row r="534">
      <c r="A534" s="2">
        <v>46184.60904060185</v>
      </c>
      <c r="B534" s="1" t="s">
        <v>181</v>
      </c>
    </row>
    <row r="535">
      <c r="A535" s="2">
        <v>46184.609048240745</v>
      </c>
      <c r="B535" s="1" t="s">
        <v>183</v>
      </c>
    </row>
    <row r="536">
      <c r="A536" s="2">
        <v>46184.6091537037</v>
      </c>
      <c r="B536" s="1" t="s">
        <v>536</v>
      </c>
    </row>
    <row r="537">
      <c r="A537" s="2">
        <v>46184.60916898148</v>
      </c>
      <c r="B537" s="1" t="s">
        <v>181</v>
      </c>
    </row>
    <row r="538">
      <c r="A538" s="2">
        <v>46184.609181481486</v>
      </c>
      <c r="B538" s="1" t="s">
        <v>183</v>
      </c>
    </row>
    <row r="539">
      <c r="A539" s="2">
        <v>46184.609278055555</v>
      </c>
      <c r="B539" s="1" t="s">
        <v>544</v>
      </c>
    </row>
    <row r="540">
      <c r="A540" s="2">
        <v>46184.60929162037</v>
      </c>
      <c r="B540" s="1" t="s">
        <v>181</v>
      </c>
    </row>
    <row r="541">
      <c r="A541" s="2">
        <v>46184.60930564815</v>
      </c>
      <c r="B541" s="1" t="s">
        <v>183</v>
      </c>
    </row>
    <row r="542">
      <c r="A542" s="2">
        <v>46190.391053576386</v>
      </c>
      <c r="B542" s="1" t="s">
        <v>603</v>
      </c>
      <c r="C542" s="1" t="s">
        <v>604</v>
      </c>
      <c r="D542" s="1" t="s">
        <v>75</v>
      </c>
      <c r="E542" s="1" t="s">
        <v>606</v>
      </c>
      <c r="F542" s="1" t="s">
        <v>607</v>
      </c>
    </row>
    <row r="543">
      <c r="A543" s="2">
        <v>46190.39218577546</v>
      </c>
      <c r="B543" s="1" t="s">
        <v>603</v>
      </c>
      <c r="C543" s="1" t="s">
        <v>604</v>
      </c>
      <c r="D543" s="1" t="s">
        <v>75</v>
      </c>
      <c r="E543" s="1" t="s">
        <v>606</v>
      </c>
      <c r="F543" s="1" t="s">
        <v>611</v>
      </c>
    </row>
    <row r="544">
      <c r="A544" s="2">
        <v>46190.437029988425</v>
      </c>
      <c r="B544" s="1" t="s">
        <v>603</v>
      </c>
      <c r="C544" s="1" t="s">
        <v>604</v>
      </c>
      <c r="D544" s="1" t="s">
        <v>62</v>
      </c>
      <c r="E544" s="1" t="s">
        <v>215</v>
      </c>
      <c r="F544" s="1" t="s">
        <v>613</v>
      </c>
    </row>
    <row r="545">
      <c r="A545" s="2">
        <v>46190.437043611106</v>
      </c>
      <c r="B545" s="1" t="s">
        <v>603</v>
      </c>
      <c r="C545" s="1" t="s">
        <v>604</v>
      </c>
      <c r="D545" s="1" t="s">
        <v>62</v>
      </c>
      <c r="E545" s="1" t="s">
        <v>215</v>
      </c>
      <c r="F545" s="1" t="s">
        <v>613</v>
      </c>
    </row>
    <row r="546">
      <c r="A546" s="2">
        <v>46190.59983148148</v>
      </c>
      <c r="B546" s="1" t="s">
        <v>603</v>
      </c>
      <c r="C546" s="1" t="s">
        <v>604</v>
      </c>
      <c r="D546" s="1" t="s">
        <v>62</v>
      </c>
      <c r="E546" s="1" t="s">
        <v>215</v>
      </c>
      <c r="F546" s="1" t="s">
        <v>618</v>
      </c>
    </row>
    <row r="547">
      <c r="A547" s="2">
        <v>46191.66622921296</v>
      </c>
      <c r="B547" s="1" t="s">
        <v>621</v>
      </c>
    </row>
    <row r="548">
      <c r="A548" s="2">
        <v>46191.66625746527</v>
      </c>
      <c r="B548" s="1" t="s">
        <v>37</v>
      </c>
    </row>
    <row r="549">
      <c r="A549" s="2">
        <v>46191.6662669213</v>
      </c>
      <c r="B549" s="1" t="s">
        <v>53</v>
      </c>
    </row>
    <row r="550">
      <c r="A550" s="2">
        <v>46191.69624559028</v>
      </c>
      <c r="B550" s="1" t="s">
        <v>625</v>
      </c>
    </row>
    <row r="551">
      <c r="A551" s="2">
        <v>46191.696268125</v>
      </c>
      <c r="B551" s="1" t="s">
        <v>37</v>
      </c>
    </row>
    <row r="552">
      <c r="A552" s="2">
        <v>46191.69627894676</v>
      </c>
      <c r="B552" s="1" t="s">
        <v>53</v>
      </c>
    </row>
    <row r="553">
      <c r="A553" s="2">
        <v>46191.704001770835</v>
      </c>
      <c r="B553" s="1" t="s">
        <v>630</v>
      </c>
    </row>
    <row r="554">
      <c r="A554" s="2">
        <v>46191.70402077546</v>
      </c>
      <c r="B554" s="1" t="s">
        <v>37</v>
      </c>
    </row>
    <row r="555">
      <c r="A555" s="2">
        <v>46191.704030451394</v>
      </c>
      <c r="B555" s="1" t="s">
        <v>53</v>
      </c>
    </row>
    <row r="556">
      <c r="A556" s="2">
        <v>46191.70407070602</v>
      </c>
      <c r="B556" s="1" t="s">
        <v>632</v>
      </c>
    </row>
    <row r="557">
      <c r="A557" s="2">
        <v>46191.70409072917</v>
      </c>
      <c r="B557" s="1" t="s">
        <v>37</v>
      </c>
    </row>
    <row r="558">
      <c r="A558" s="2">
        <v>46191.70410018519</v>
      </c>
      <c r="B558" s="1" t="s">
        <v>53</v>
      </c>
    </row>
    <row r="559">
      <c r="A559" s="2">
        <v>46191.70747988426</v>
      </c>
      <c r="B559" s="1" t="s">
        <v>630</v>
      </c>
    </row>
    <row r="560">
      <c r="A560" s="2">
        <v>46191.707494999995</v>
      </c>
      <c r="B560" s="1" t="s">
        <v>283</v>
      </c>
    </row>
    <row r="561">
      <c r="A561" s="2">
        <v>46191.70750175926</v>
      </c>
      <c r="B561" s="1" t="s">
        <v>284</v>
      </c>
    </row>
    <row r="562">
      <c r="A562" s="2">
        <v>46192.41031530093</v>
      </c>
      <c r="B562" s="1" t="s">
        <v>630</v>
      </c>
    </row>
    <row r="563">
      <c r="A563" s="2">
        <v>46192.41033363426</v>
      </c>
      <c r="B563" s="1" t="s">
        <v>181</v>
      </c>
    </row>
    <row r="564">
      <c r="A564" s="2">
        <v>46192.41033951389</v>
      </c>
      <c r="B564" s="1" t="s">
        <v>183</v>
      </c>
    </row>
    <row r="565">
      <c r="A565" s="2">
        <v>46192.47360184028</v>
      </c>
      <c r="B565" s="1" t="s">
        <v>498</v>
      </c>
    </row>
    <row r="566">
      <c r="A566" s="2">
        <v>46192.47363949074</v>
      </c>
      <c r="B566" s="1" t="s">
        <v>202</v>
      </c>
    </row>
    <row r="567">
      <c r="A567" s="2">
        <v>46192.47364643519</v>
      </c>
      <c r="B567" s="1" t="s">
        <v>204</v>
      </c>
    </row>
    <row r="568">
      <c r="A568" s="2">
        <v>46192.4737847338</v>
      </c>
      <c r="B568" s="1" t="s">
        <v>504</v>
      </c>
    </row>
    <row r="569">
      <c r="A569" s="2">
        <v>46192.47381092593</v>
      </c>
      <c r="B569" s="1" t="s">
        <v>202</v>
      </c>
    </row>
    <row r="570">
      <c r="A570" s="2">
        <v>46192.473819872685</v>
      </c>
      <c r="B570" s="1" t="s">
        <v>204</v>
      </c>
    </row>
    <row r="571">
      <c r="A571" s="2">
        <v>46192.47399890046</v>
      </c>
      <c r="B571" s="1" t="s">
        <v>508</v>
      </c>
    </row>
    <row r="572">
      <c r="A572" s="2">
        <v>46192.474017430555</v>
      </c>
      <c r="B572" s="1" t="s">
        <v>136</v>
      </c>
    </row>
    <row r="573">
      <c r="A573" s="2">
        <v>46192.4740269676</v>
      </c>
      <c r="B573" s="1" t="s">
        <v>141</v>
      </c>
    </row>
    <row r="574">
      <c r="A574" s="2">
        <v>46192.47429871528</v>
      </c>
      <c r="B574" s="1" t="s">
        <v>513</v>
      </c>
    </row>
    <row r="575">
      <c r="A575" s="2">
        <v>46192.47432326389</v>
      </c>
      <c r="B575" s="1" t="s">
        <v>151</v>
      </c>
    </row>
    <row r="576">
      <c r="A576" s="2">
        <v>46192.47433429398</v>
      </c>
      <c r="B576" s="1" t="s">
        <v>153</v>
      </c>
    </row>
    <row r="577">
      <c r="A577" s="2">
        <v>46192.47445177083</v>
      </c>
      <c r="B577" s="1" t="s">
        <v>524</v>
      </c>
    </row>
    <row r="578">
      <c r="A578" s="2">
        <v>46192.474470138884</v>
      </c>
      <c r="B578" s="1" t="s">
        <v>136</v>
      </c>
    </row>
    <row r="579">
      <c r="A579" s="2">
        <v>46192.47447981482</v>
      </c>
      <c r="B579" s="1" t="s">
        <v>141</v>
      </c>
    </row>
    <row r="580">
      <c r="A580" s="2">
        <v>46192.47456533565</v>
      </c>
      <c r="B580" s="1" t="s">
        <v>529</v>
      </c>
    </row>
    <row r="581">
      <c r="A581" s="2">
        <v>46192.47457672453</v>
      </c>
      <c r="B581" s="1" t="s">
        <v>162</v>
      </c>
    </row>
    <row r="582">
      <c r="A582" s="2">
        <v>46192.47458378472</v>
      </c>
      <c r="B582" s="1" t="s">
        <v>165</v>
      </c>
    </row>
    <row r="583">
      <c r="A583" s="2">
        <v>46192.47467469907</v>
      </c>
      <c r="B583" s="1" t="s">
        <v>536</v>
      </c>
    </row>
    <row r="584">
      <c r="A584" s="2">
        <v>46192.47468532408</v>
      </c>
      <c r="B584" s="1" t="s">
        <v>221</v>
      </c>
    </row>
    <row r="585">
      <c r="A585" s="2">
        <v>46192.47469780092</v>
      </c>
      <c r="B585" s="1" t="s">
        <v>222</v>
      </c>
    </row>
    <row r="586">
      <c r="A586" s="2">
        <v>46192.47477434028</v>
      </c>
      <c r="B586" s="1" t="s">
        <v>544</v>
      </c>
    </row>
    <row r="587">
      <c r="A587" s="2">
        <v>46192.47479010417</v>
      </c>
      <c r="B587" s="1" t="s">
        <v>221</v>
      </c>
    </row>
    <row r="588">
      <c r="A588" s="2">
        <v>46192.47480377315</v>
      </c>
      <c r="B588" s="1" t="s">
        <v>222</v>
      </c>
    </row>
    <row r="589">
      <c r="A589" s="2">
        <v>46192.474924027774</v>
      </c>
      <c r="B589" s="1" t="s">
        <v>549</v>
      </c>
    </row>
    <row r="590">
      <c r="A590" s="2">
        <v>46192.47494922453</v>
      </c>
      <c r="B590" s="1" t="s">
        <v>151</v>
      </c>
    </row>
    <row r="591">
      <c r="A591" s="2">
        <v>46192.47496332176</v>
      </c>
      <c r="B591" s="1" t="s">
        <v>153</v>
      </c>
    </row>
    <row r="592">
      <c r="A592" s="2">
        <v>46192.47503782407</v>
      </c>
      <c r="B592" s="1" t="s">
        <v>630</v>
      </c>
    </row>
    <row r="593">
      <c r="A593" s="2">
        <v>46192.475051319445</v>
      </c>
      <c r="B593" s="1" t="s">
        <v>136</v>
      </c>
    </row>
    <row r="594">
      <c r="A594" s="2">
        <v>46192.475057627315</v>
      </c>
      <c r="B594" s="1" t="s">
        <v>141</v>
      </c>
    </row>
    <row r="595">
      <c r="A595" s="2">
        <v>46195.660932557876</v>
      </c>
      <c r="B595" s="1" t="s">
        <v>603</v>
      </c>
      <c r="C595" s="1" t="s">
        <v>604</v>
      </c>
      <c r="D595" s="1" t="s">
        <v>62</v>
      </c>
      <c r="E595" s="1" t="s">
        <v>215</v>
      </c>
      <c r="F595" s="1" t="s">
        <v>670</v>
      </c>
    </row>
    <row r="596">
      <c r="A596" s="2">
        <v>46195.66121723379</v>
      </c>
      <c r="B596" s="1" t="s">
        <v>621</v>
      </c>
    </row>
    <row r="597">
      <c r="A597" s="2">
        <v>46195.66123753472</v>
      </c>
      <c r="B597" s="1" t="s">
        <v>283</v>
      </c>
    </row>
    <row r="598">
      <c r="A598" s="2">
        <v>46195.66124584491</v>
      </c>
      <c r="B598" s="1" t="s">
        <v>284</v>
      </c>
    </row>
    <row r="599">
      <c r="A599" s="2">
        <v>46195.66171894676</v>
      </c>
      <c r="B599" s="1" t="s">
        <v>625</v>
      </c>
    </row>
    <row r="600">
      <c r="A600" s="2">
        <v>46195.661730231484</v>
      </c>
      <c r="B600" s="1" t="s">
        <v>283</v>
      </c>
    </row>
    <row r="601">
      <c r="A601" s="2">
        <v>46195.66173702547</v>
      </c>
      <c r="B601" s="1" t="s">
        <v>284</v>
      </c>
    </row>
    <row r="602">
      <c r="A602" s="2">
        <v>46195.66262299768</v>
      </c>
      <c r="B602" s="1" t="s">
        <v>632</v>
      </c>
    </row>
    <row r="603">
      <c r="A603" s="2">
        <v>46195.662635138884</v>
      </c>
      <c r="B603" s="1" t="s">
        <v>283</v>
      </c>
    </row>
    <row r="604">
      <c r="A604" s="2">
        <v>46195.66263951389</v>
      </c>
      <c r="B604" s="1" t="s">
        <v>284</v>
      </c>
    </row>
    <row r="605">
      <c r="A605" s="2">
        <v>46196.41877255787</v>
      </c>
      <c r="B605" s="1" t="s">
        <v>681</v>
      </c>
    </row>
    <row r="606">
      <c r="A606" s="2">
        <v>46196.41879303241</v>
      </c>
      <c r="B606" s="1" t="s">
        <v>37</v>
      </c>
    </row>
    <row r="607">
      <c r="A607" s="2">
        <v>46196.41882212963</v>
      </c>
      <c r="B607" s="1" t="s">
        <v>53</v>
      </c>
    </row>
    <row r="608">
      <c r="A608" s="2">
        <v>46196.42090375</v>
      </c>
      <c r="B608" s="1" t="s">
        <v>681</v>
      </c>
    </row>
    <row r="609">
      <c r="A609" s="2">
        <v>46196.42092480324</v>
      </c>
      <c r="B609" s="1" t="s">
        <v>283</v>
      </c>
    </row>
    <row r="610">
      <c r="A610" s="2">
        <v>46196.420938310184</v>
      </c>
      <c r="B610" s="1" t="s">
        <v>284</v>
      </c>
    </row>
    <row r="611">
      <c r="A611" s="2">
        <v>46196.42112644676</v>
      </c>
      <c r="B611" s="1" t="s">
        <v>513</v>
      </c>
    </row>
    <row r="612">
      <c r="A612" s="2">
        <v>46196.42117425926</v>
      </c>
      <c r="B612" s="1" t="s">
        <v>513</v>
      </c>
    </row>
    <row r="613">
      <c r="A613" s="2">
        <v>46196.42118577546</v>
      </c>
      <c r="B613" s="1" t="s">
        <v>151</v>
      </c>
    </row>
    <row r="614">
      <c r="A614" s="2">
        <v>46196.421193125</v>
      </c>
      <c r="B614" s="1" t="s">
        <v>151</v>
      </c>
    </row>
    <row r="615">
      <c r="A615" s="2">
        <v>46196.42119790509</v>
      </c>
      <c r="B615" s="1" t="s">
        <v>153</v>
      </c>
    </row>
    <row r="616">
      <c r="A616" s="2">
        <v>46196.4212053125</v>
      </c>
      <c r="B616" s="1" t="s">
        <v>153</v>
      </c>
    </row>
    <row r="617">
      <c r="A617" s="2">
        <v>46197.448164710644</v>
      </c>
      <c r="B617" s="1" t="s">
        <v>621</v>
      </c>
    </row>
    <row r="618">
      <c r="A618" s="2">
        <v>46197.448180949075</v>
      </c>
      <c r="B618" s="1" t="s">
        <v>181</v>
      </c>
    </row>
    <row r="619">
      <c r="A619" s="2">
        <v>46197.448191435185</v>
      </c>
      <c r="B619" s="1" t="s">
        <v>183</v>
      </c>
    </row>
    <row r="620">
      <c r="A620" s="2">
        <v>46197.44839344907</v>
      </c>
      <c r="B620" s="1" t="s">
        <v>625</v>
      </c>
    </row>
    <row r="621">
      <c r="A621" s="2">
        <v>46197.44841038194</v>
      </c>
      <c r="B621" s="1" t="s">
        <v>181</v>
      </c>
    </row>
    <row r="622">
      <c r="A622" s="2">
        <v>46197.448434756945</v>
      </c>
      <c r="B622" s="1" t="s">
        <v>183</v>
      </c>
    </row>
    <row r="623">
      <c r="A623" s="2">
        <v>46197.448513043986</v>
      </c>
      <c r="B623" s="1" t="s">
        <v>632</v>
      </c>
    </row>
    <row r="624">
      <c r="A624" s="2">
        <v>46197.448532291666</v>
      </c>
      <c r="B624" s="1" t="s">
        <v>181</v>
      </c>
    </row>
    <row r="625">
      <c r="A625" s="2">
        <v>46197.44854020834</v>
      </c>
      <c r="B625" s="1" t="s">
        <v>183</v>
      </c>
    </row>
    <row r="626">
      <c r="A626" s="2">
        <v>46198.559363645836</v>
      </c>
      <c r="B626" s="1" t="s">
        <v>603</v>
      </c>
      <c r="C626" s="1" t="s">
        <v>604</v>
      </c>
      <c r="D626" s="1" t="s">
        <v>62</v>
      </c>
      <c r="E626" s="1" t="s">
        <v>215</v>
      </c>
      <c r="F626" s="1" t="s">
        <v>705</v>
      </c>
    </row>
    <row r="627">
      <c r="A627" s="2">
        <v>46202.43046216435</v>
      </c>
      <c r="B627" s="1" t="s">
        <v>708</v>
      </c>
    </row>
    <row r="628">
      <c r="A628" s="2">
        <v>46202.430476828704</v>
      </c>
      <c r="B628" s="1" t="s">
        <v>37</v>
      </c>
    </row>
    <row r="629">
      <c r="A629" s="2">
        <v>46202.43048412037</v>
      </c>
      <c r="B629" s="1" t="s">
        <v>53</v>
      </c>
    </row>
    <row r="630">
      <c r="A630" s="2">
        <v>46202.543175949075</v>
      </c>
      <c r="B630" s="1" t="s">
        <v>708</v>
      </c>
    </row>
    <row r="631">
      <c r="A631" s="2">
        <v>46202.54318945602</v>
      </c>
      <c r="B631" s="1" t="s">
        <v>283</v>
      </c>
    </row>
    <row r="632">
      <c r="A632" s="2">
        <v>46202.543195555554</v>
      </c>
      <c r="B632" s="1" t="s">
        <v>284</v>
      </c>
    </row>
    <row r="633">
      <c r="A633" s="2">
        <v>46203.57367063657</v>
      </c>
      <c r="B633" s="1" t="s">
        <v>714</v>
      </c>
    </row>
    <row r="634">
      <c r="A634" s="2">
        <v>46203.5736880787</v>
      </c>
      <c r="B634" s="1" t="s">
        <v>37</v>
      </c>
    </row>
    <row r="635">
      <c r="A635" s="2">
        <v>46203.573698692126</v>
      </c>
      <c r="B635" s="1" t="s">
        <v>53</v>
      </c>
    </row>
    <row r="636">
      <c r="A636" s="2">
        <v>46203.575383414354</v>
      </c>
      <c r="B636" s="1" t="s">
        <v>714</v>
      </c>
    </row>
    <row r="637">
      <c r="A637" s="2">
        <v>46203.57540716435</v>
      </c>
      <c r="B637" s="1" t="s">
        <v>283</v>
      </c>
    </row>
    <row r="638">
      <c r="A638" s="2">
        <v>46203.57542358796</v>
      </c>
      <c r="B638" s="1" t="s">
        <v>284</v>
      </c>
    </row>
    <row r="639">
      <c r="A639" s="2">
        <v>46203.57988334491</v>
      </c>
      <c r="B639" s="1" t="s">
        <v>714</v>
      </c>
    </row>
    <row r="640">
      <c r="A640" s="2">
        <v>46203.57990519676</v>
      </c>
      <c r="B640" s="1" t="s">
        <v>181</v>
      </c>
    </row>
    <row r="641">
      <c r="A641" s="2">
        <v>46203.57991450232</v>
      </c>
      <c r="B641" s="1" t="s">
        <v>183</v>
      </c>
    </row>
    <row r="642">
      <c r="A642" s="2">
        <v>46203.58006857639</v>
      </c>
      <c r="B642" s="1" t="s">
        <v>708</v>
      </c>
    </row>
    <row r="643">
      <c r="A643" s="2">
        <v>46203.58009300926</v>
      </c>
      <c r="B643" s="1" t="s">
        <v>181</v>
      </c>
    </row>
    <row r="644">
      <c r="A644" s="2">
        <v>46203.580104699075</v>
      </c>
      <c r="B644" s="1" t="s">
        <v>183</v>
      </c>
    </row>
    <row r="645">
      <c r="A645" s="2">
        <v>46203.58048822917</v>
      </c>
      <c r="B645" s="1" t="s">
        <v>681</v>
      </c>
    </row>
    <row r="646">
      <c r="A646" s="2">
        <v>46203.58050679398</v>
      </c>
      <c r="B646" s="1" t="s">
        <v>181</v>
      </c>
    </row>
    <row r="647">
      <c r="A647" s="2">
        <v>46203.58051892361</v>
      </c>
      <c r="B647" s="1" t="s">
        <v>183</v>
      </c>
    </row>
    <row r="648">
      <c r="A648" s="2">
        <v>46204.64091324074</v>
      </c>
      <c r="B648" s="1" t="s">
        <v>603</v>
      </c>
      <c r="C648" s="1" t="s">
        <v>604</v>
      </c>
      <c r="D648" s="1" t="s">
        <v>75</v>
      </c>
      <c r="E648" s="1" t="s">
        <v>606</v>
      </c>
      <c r="F648" s="1" t="s">
        <v>731</v>
      </c>
    </row>
    <row r="649">
      <c r="A649" s="2">
        <v>46205.39815612268</v>
      </c>
      <c r="B649" s="1" t="s">
        <v>621</v>
      </c>
    </row>
    <row r="650">
      <c r="A650" s="2">
        <v>46205.39819923611</v>
      </c>
      <c r="B650" s="1" t="s">
        <v>151</v>
      </c>
    </row>
    <row r="651">
      <c r="A651" s="2">
        <v>46205.39821313658</v>
      </c>
      <c r="B651" s="1" t="s">
        <v>153</v>
      </c>
    </row>
    <row r="652">
      <c r="A652" s="2">
        <v>46205.39833600694</v>
      </c>
      <c r="B652" s="1" t="s">
        <v>625</v>
      </c>
    </row>
    <row r="653">
      <c r="A653" s="2">
        <v>46205.398364560184</v>
      </c>
      <c r="B653" s="1" t="s">
        <v>221</v>
      </c>
    </row>
    <row r="654">
      <c r="A654" s="2">
        <v>46205.39837275463</v>
      </c>
      <c r="B654" s="1" t="s">
        <v>222</v>
      </c>
    </row>
    <row r="655">
      <c r="A655" s="2">
        <v>46205.39850380787</v>
      </c>
      <c r="B655" s="1" t="s">
        <v>632</v>
      </c>
    </row>
    <row r="656">
      <c r="A656" s="2">
        <v>46205.39852819445</v>
      </c>
      <c r="B656" s="1" t="s">
        <v>221</v>
      </c>
    </row>
    <row r="657">
      <c r="A657" s="2">
        <v>46205.39854155092</v>
      </c>
      <c r="B657" s="1" t="s">
        <v>222</v>
      </c>
    </row>
    <row r="658">
      <c r="A658" s="2">
        <v>46205.39867015046</v>
      </c>
      <c r="B658" s="1" t="s">
        <v>681</v>
      </c>
    </row>
    <row r="659">
      <c r="A659" s="2">
        <v>46205.398697881945</v>
      </c>
      <c r="B659" s="1" t="s">
        <v>202</v>
      </c>
    </row>
    <row r="660">
      <c r="A660" s="2">
        <v>46205.39870535879</v>
      </c>
      <c r="B660" s="1" t="s">
        <v>204</v>
      </c>
    </row>
    <row r="661">
      <c r="A661" s="2">
        <v>46205.398792314816</v>
      </c>
      <c r="B661" s="1" t="s">
        <v>708</v>
      </c>
    </row>
    <row r="662">
      <c r="A662" s="2">
        <v>46205.398814375</v>
      </c>
      <c r="B662" s="1" t="s">
        <v>479</v>
      </c>
    </row>
    <row r="663">
      <c r="A663" s="2">
        <v>46205.39883413195</v>
      </c>
      <c r="B663" s="1" t="s">
        <v>480</v>
      </c>
    </row>
    <row r="664">
      <c r="A664" s="2">
        <v>46205.39894939815</v>
      </c>
      <c r="B664" s="1" t="s">
        <v>714</v>
      </c>
    </row>
    <row r="665">
      <c r="A665" s="2">
        <v>46205.39896552083</v>
      </c>
      <c r="B665" s="1" t="s">
        <v>745</v>
      </c>
    </row>
    <row r="666">
      <c r="A666" s="2">
        <v>46205.39897385417</v>
      </c>
      <c r="B666" s="1" t="s">
        <v>746</v>
      </c>
    </row>
    <row r="667">
      <c r="A667" s="2">
        <v>46209.396484247685</v>
      </c>
      <c r="B667" s="1" t="s">
        <v>749</v>
      </c>
    </row>
    <row r="668">
      <c r="A668" s="2">
        <v>46209.39649945602</v>
      </c>
      <c r="B668" s="1" t="s">
        <v>37</v>
      </c>
    </row>
    <row r="669">
      <c r="A669" s="2">
        <v>46209.39650534722</v>
      </c>
      <c r="B669" s="1" t="s">
        <v>53</v>
      </c>
    </row>
    <row r="670">
      <c r="A670" s="2">
        <v>46209.56634601852</v>
      </c>
      <c r="B670" s="1" t="s">
        <v>752</v>
      </c>
    </row>
    <row r="671">
      <c r="A671" s="2">
        <v>46209.56636141204</v>
      </c>
      <c r="B671" s="1" t="s">
        <v>37</v>
      </c>
    </row>
    <row r="672">
      <c r="A672" s="2">
        <v>46209.56636956018</v>
      </c>
      <c r="B672" s="1" t="s">
        <v>53</v>
      </c>
    </row>
    <row r="673">
      <c r="A673" s="2">
        <v>46209.61790791666</v>
      </c>
      <c r="B673" s="1" t="s">
        <v>749</v>
      </c>
    </row>
    <row r="674">
      <c r="A674" s="2">
        <v>46209.61791627315</v>
      </c>
      <c r="B674" s="1" t="s">
        <v>283</v>
      </c>
    </row>
    <row r="675">
      <c r="A675" s="2">
        <v>46209.61792315972</v>
      </c>
      <c r="B675" s="1" t="s">
        <v>284</v>
      </c>
    </row>
    <row r="676">
      <c r="A676" s="2">
        <v>46210.45522387732</v>
      </c>
      <c r="B676" s="1" t="s">
        <v>752</v>
      </c>
    </row>
    <row r="677">
      <c r="A677" s="2">
        <v>46210.455248819446</v>
      </c>
      <c r="B677" s="1" t="s">
        <v>283</v>
      </c>
    </row>
    <row r="678">
      <c r="A678" s="2">
        <v>46210.45526153935</v>
      </c>
      <c r="B678" s="1" t="s">
        <v>284</v>
      </c>
    </row>
    <row r="679">
      <c r="A679" s="2">
        <v>46211.44832199074</v>
      </c>
      <c r="B679" s="1" t="s">
        <v>761</v>
      </c>
    </row>
    <row r="680">
      <c r="A680" s="2">
        <v>46211.448337291666</v>
      </c>
      <c r="B680" s="1" t="s">
        <v>37</v>
      </c>
    </row>
    <row r="681">
      <c r="A681" s="2">
        <v>46211.44834643519</v>
      </c>
      <c r="B681" s="1" t="s">
        <v>53</v>
      </c>
    </row>
    <row r="682">
      <c r="A682" s="2">
        <v>46211.68236791667</v>
      </c>
      <c r="B682" s="1" t="s">
        <v>761</v>
      </c>
    </row>
    <row r="683">
      <c r="A683" s="2">
        <v>46211.682386932865</v>
      </c>
      <c r="B683" s="1" t="s">
        <v>283</v>
      </c>
    </row>
    <row r="684">
      <c r="A684" s="2">
        <v>46211.68239880787</v>
      </c>
      <c r="B684" s="1" t="s">
        <v>284</v>
      </c>
    </row>
    <row r="685">
      <c r="A685" s="2">
        <v>46213.566204675924</v>
      </c>
      <c r="B685" s="1" t="s">
        <v>767</v>
      </c>
    </row>
    <row r="686">
      <c r="A686" s="2">
        <v>46213.56622663194</v>
      </c>
      <c r="B686" s="1" t="s">
        <v>37</v>
      </c>
    </row>
    <row r="687">
      <c r="A687" s="2">
        <v>46213.566235509265</v>
      </c>
      <c r="B687" s="1" t="s">
        <v>53</v>
      </c>
    </row>
    <row r="688">
      <c r="A688" s="2">
        <v>46213.57367402778</v>
      </c>
      <c r="B688" s="1" t="s">
        <v>767</v>
      </c>
    </row>
    <row r="689">
      <c r="A689" s="2">
        <v>46213.57370278935</v>
      </c>
      <c r="B689" s="1" t="s">
        <v>283</v>
      </c>
    </row>
    <row r="690">
      <c r="A690" s="2">
        <v>46213.57373710648</v>
      </c>
      <c r="B690" s="1" t="s">
        <v>284</v>
      </c>
    </row>
    <row r="691">
      <c r="A691" s="2">
        <v>46213.86473743056</v>
      </c>
      <c r="B691" s="1" t="s">
        <v>603</v>
      </c>
      <c r="C691" s="1" t="s">
        <v>604</v>
      </c>
      <c r="D691" s="1" t="s">
        <v>75</v>
      </c>
      <c r="E691" s="1" t="s">
        <v>606</v>
      </c>
      <c r="F691" s="1" t="s">
        <v>780</v>
      </c>
    </row>
    <row r="692">
      <c r="A692" s="2">
        <v>46216.44910952546</v>
      </c>
      <c r="B692" s="1" t="s">
        <v>603</v>
      </c>
      <c r="C692" s="1" t="s">
        <v>604</v>
      </c>
      <c r="D692" s="1" t="s">
        <v>50</v>
      </c>
      <c r="E692" s="1" t="s">
        <v>139</v>
      </c>
      <c r="F692" s="1" t="s">
        <v>784</v>
      </c>
    </row>
    <row r="693">
      <c r="A693" s="2">
        <v>46216.45068394676</v>
      </c>
      <c r="B693" s="1" t="s">
        <v>603</v>
      </c>
      <c r="C693" s="1" t="s">
        <v>604</v>
      </c>
      <c r="D693" s="1" t="s">
        <v>75</v>
      </c>
      <c r="E693" s="1" t="s">
        <v>606</v>
      </c>
      <c r="F693" s="1" t="s">
        <v>787</v>
      </c>
    </row>
    <row r="694">
      <c r="A694" s="2">
        <v>46217.4082513426</v>
      </c>
      <c r="B694" s="1" t="s">
        <v>749</v>
      </c>
    </row>
    <row r="695">
      <c r="A695" s="2">
        <v>46217.4082662963</v>
      </c>
      <c r="B695" s="1" t="s">
        <v>181</v>
      </c>
    </row>
    <row r="696">
      <c r="A696" s="2">
        <v>46217.40827554398</v>
      </c>
      <c r="B696" s="1" t="s">
        <v>183</v>
      </c>
    </row>
    <row r="697">
      <c r="A697" s="2">
        <v>46217.409384375</v>
      </c>
      <c r="B697" s="1" t="s">
        <v>752</v>
      </c>
    </row>
    <row r="698">
      <c r="A698" s="2">
        <v>46217.40941349537</v>
      </c>
      <c r="B698" s="1" t="s">
        <v>181</v>
      </c>
    </row>
    <row r="699">
      <c r="A699" s="2">
        <v>46217.40942660879</v>
      </c>
      <c r="B699" s="1" t="s">
        <v>183</v>
      </c>
    </row>
    <row r="700">
      <c r="A700" s="2">
        <v>46217.40953319444</v>
      </c>
      <c r="B700" s="1" t="s">
        <v>761</v>
      </c>
    </row>
    <row r="701">
      <c r="A701" s="2">
        <v>46217.4095544213</v>
      </c>
      <c r="B701" s="1" t="s">
        <v>181</v>
      </c>
    </row>
    <row r="702">
      <c r="A702" s="2">
        <v>46217.40956223379</v>
      </c>
      <c r="B702" s="1" t="s">
        <v>183</v>
      </c>
    </row>
    <row r="703">
      <c r="A703" s="2">
        <v>46217.40969388889</v>
      </c>
      <c r="B703" s="1" t="s">
        <v>767</v>
      </c>
    </row>
    <row r="704">
      <c r="A704" s="2">
        <v>46217.409717939816</v>
      </c>
      <c r="B704" s="1" t="s">
        <v>181</v>
      </c>
    </row>
    <row r="705">
      <c r="A705" s="2">
        <v>46217.40973034722</v>
      </c>
      <c r="B705" s="1" t="s">
        <v>183</v>
      </c>
    </row>
    <row r="706">
      <c r="A706" s="2">
        <v>46217.414832002316</v>
      </c>
      <c r="B706" s="1" t="s">
        <v>767</v>
      </c>
    </row>
    <row r="707">
      <c r="A707" s="2">
        <v>46217.41485560185</v>
      </c>
      <c r="B707" s="1" t="s">
        <v>745</v>
      </c>
    </row>
    <row r="708">
      <c r="A708" s="2">
        <v>46217.414869733795</v>
      </c>
      <c r="B708" s="1" t="s">
        <v>746</v>
      </c>
    </row>
    <row r="709">
      <c r="A709" s="2">
        <v>46217.415065</v>
      </c>
      <c r="B709" s="1" t="s">
        <v>761</v>
      </c>
    </row>
    <row r="710">
      <c r="A710" s="2">
        <v>46217.41508363426</v>
      </c>
      <c r="B710" s="1" t="s">
        <v>745</v>
      </c>
    </row>
    <row r="711">
      <c r="A711" s="2">
        <v>46217.41509248843</v>
      </c>
      <c r="B711" s="1" t="s">
        <v>746</v>
      </c>
    </row>
    <row r="712">
      <c r="A712" s="2">
        <v>46217.41535693287</v>
      </c>
      <c r="B712" s="1" t="s">
        <v>752</v>
      </c>
    </row>
    <row r="713">
      <c r="A713" s="2">
        <v>46217.41538315972</v>
      </c>
      <c r="B713" s="1" t="s">
        <v>221</v>
      </c>
    </row>
    <row r="714">
      <c r="A714" s="2">
        <v>46217.4153988426</v>
      </c>
      <c r="B714" s="1" t="s">
        <v>222</v>
      </c>
    </row>
    <row r="715">
      <c r="A715" s="2">
        <v>46217.415610625</v>
      </c>
      <c r="B715" s="1" t="s">
        <v>749</v>
      </c>
    </row>
    <row r="716">
      <c r="A716" s="2">
        <v>46217.41563707176</v>
      </c>
      <c r="B716" s="1" t="s">
        <v>221</v>
      </c>
    </row>
    <row r="717">
      <c r="A717" s="2">
        <v>46217.41565407407</v>
      </c>
      <c r="B717" s="1" t="s">
        <v>222</v>
      </c>
    </row>
    <row r="718">
      <c r="A718" s="2">
        <v>46219.69539959491</v>
      </c>
      <c r="B718" s="1" t="s">
        <v>810</v>
      </c>
    </row>
    <row r="719">
      <c r="A719" s="2">
        <v>46219.69542188657</v>
      </c>
      <c r="B719" s="1" t="s">
        <v>37</v>
      </c>
    </row>
    <row r="720">
      <c r="A720" s="2">
        <v>46219.69543162037</v>
      </c>
      <c r="B720" s="1" t="s">
        <v>53</v>
      </c>
    </row>
    <row r="721">
      <c r="A721" s="2">
        <v>46219.69957591435</v>
      </c>
      <c r="B721" s="1" t="s">
        <v>603</v>
      </c>
      <c r="C721" s="1" t="s">
        <v>604</v>
      </c>
      <c r="D721" s="1" t="s">
        <v>112</v>
      </c>
      <c r="E721" s="1" t="s">
        <v>139</v>
      </c>
      <c r="F721" s="1" t="s">
        <v>814</v>
      </c>
    </row>
    <row r="722">
      <c r="A722" s="2">
        <v>46219.70021733796</v>
      </c>
      <c r="B722" s="1" t="s">
        <v>603</v>
      </c>
      <c r="C722" s="1" t="s">
        <v>604</v>
      </c>
      <c r="D722" s="1" t="s">
        <v>112</v>
      </c>
      <c r="E722" s="1" t="s">
        <v>139</v>
      </c>
      <c r="F722" s="1" t="s">
        <v>815</v>
      </c>
    </row>
    <row r="723">
      <c r="A723" s="2">
        <v>46219.70085255787</v>
      </c>
      <c r="B723" s="1" t="s">
        <v>603</v>
      </c>
      <c r="C723" s="1" t="s">
        <v>604</v>
      </c>
      <c r="D723" s="1" t="s">
        <v>112</v>
      </c>
      <c r="E723" s="1" t="s">
        <v>139</v>
      </c>
      <c r="F723" s="1" t="s">
        <v>816</v>
      </c>
    </row>
    <row r="724">
      <c r="A724" s="2">
        <v>46219.70085974537</v>
      </c>
      <c r="B724" s="1" t="s">
        <v>603</v>
      </c>
      <c r="C724" s="1" t="s">
        <v>604</v>
      </c>
      <c r="D724" s="1" t="s">
        <v>112</v>
      </c>
      <c r="E724" s="1" t="s">
        <v>139</v>
      </c>
      <c r="F724" s="1" t="s">
        <v>816</v>
      </c>
    </row>
    <row r="725">
      <c r="A725" s="2">
        <v>46219.701849398145</v>
      </c>
      <c r="B725" s="1" t="s">
        <v>603</v>
      </c>
      <c r="C725" s="1" t="s">
        <v>604</v>
      </c>
      <c r="D725" s="1" t="s">
        <v>112</v>
      </c>
      <c r="E725" s="1" t="s">
        <v>139</v>
      </c>
      <c r="F725" s="1" t="s">
        <v>817</v>
      </c>
    </row>
    <row r="726">
      <c r="A726" s="2">
        <v>46219.702477997685</v>
      </c>
      <c r="B726" s="1" t="s">
        <v>603</v>
      </c>
      <c r="C726" s="1" t="s">
        <v>604</v>
      </c>
      <c r="D726" s="1" t="s">
        <v>112</v>
      </c>
      <c r="E726" s="1" t="s">
        <v>139</v>
      </c>
      <c r="F726" s="1" t="s">
        <v>818</v>
      </c>
    </row>
    <row r="727">
      <c r="A727" s="2">
        <v>46219.703059085645</v>
      </c>
      <c r="B727" s="1" t="s">
        <v>603</v>
      </c>
      <c r="C727" s="1" t="s">
        <v>604</v>
      </c>
      <c r="D727" s="1" t="s">
        <v>112</v>
      </c>
      <c r="E727" s="1" t="s">
        <v>139</v>
      </c>
      <c r="F727" s="1" t="s">
        <v>819</v>
      </c>
    </row>
    <row r="728">
      <c r="A728" s="2">
        <v>46219.70309756944</v>
      </c>
      <c r="B728" s="1" t="s">
        <v>603</v>
      </c>
      <c r="C728" s="1" t="s">
        <v>604</v>
      </c>
      <c r="D728" s="1" t="s">
        <v>112</v>
      </c>
      <c r="E728" s="1" t="s">
        <v>139</v>
      </c>
      <c r="F728" s="1" t="s">
        <v>819</v>
      </c>
    </row>
    <row r="729">
      <c r="A729" s="2">
        <v>46219.70370165509</v>
      </c>
      <c r="B729" s="1" t="s">
        <v>603</v>
      </c>
      <c r="C729" s="1" t="s">
        <v>604</v>
      </c>
      <c r="D729" s="1" t="s">
        <v>112</v>
      </c>
      <c r="E729" s="1" t="s">
        <v>139</v>
      </c>
      <c r="F729" s="1" t="s">
        <v>820</v>
      </c>
    </row>
    <row r="730">
      <c r="A730" s="2">
        <v>46219.713943807874</v>
      </c>
      <c r="B730" s="1" t="s">
        <v>821</v>
      </c>
    </row>
    <row r="731">
      <c r="A731" s="2">
        <v>46219.713969247685</v>
      </c>
      <c r="B731" s="1" t="s">
        <v>37</v>
      </c>
    </row>
    <row r="732">
      <c r="A732" s="2">
        <v>46219.71397616898</v>
      </c>
      <c r="B732" s="1" t="s">
        <v>53</v>
      </c>
    </row>
    <row r="733">
      <c r="A733" s="2">
        <v>46219.714550069446</v>
      </c>
      <c r="B733" s="1" t="s">
        <v>821</v>
      </c>
    </row>
    <row r="734">
      <c r="A734" s="2">
        <v>46219.71456416667</v>
      </c>
      <c r="B734" s="1" t="s">
        <v>283</v>
      </c>
    </row>
    <row r="735">
      <c r="A735" s="2">
        <v>46219.714583402776</v>
      </c>
      <c r="B735" s="1" t="s">
        <v>284</v>
      </c>
    </row>
    <row r="736">
      <c r="A736" s="2">
        <v>46219.71516773148</v>
      </c>
      <c r="B736" s="1" t="s">
        <v>810</v>
      </c>
    </row>
    <row r="737">
      <c r="A737" s="2">
        <v>46219.715186284724</v>
      </c>
      <c r="B737" s="1" t="s">
        <v>283</v>
      </c>
    </row>
    <row r="738">
      <c r="A738" s="2">
        <v>46219.71519375</v>
      </c>
      <c r="B738" s="1" t="s">
        <v>284</v>
      </c>
    </row>
    <row r="739">
      <c r="A739" s="2">
        <v>46224.623683425925</v>
      </c>
      <c r="B739" s="1" t="s">
        <v>810</v>
      </c>
    </row>
    <row r="740">
      <c r="A740" s="2">
        <v>46224.623707719904</v>
      </c>
      <c r="B740" s="1" t="s">
        <v>181</v>
      </c>
    </row>
    <row r="741">
      <c r="A741" s="2">
        <v>46224.6237131713</v>
      </c>
      <c r="B741" s="1" t="s">
        <v>183</v>
      </c>
    </row>
    <row r="742">
      <c r="A742" s="2">
        <v>46224.62382306713</v>
      </c>
      <c r="B742" s="1" t="s">
        <v>821</v>
      </c>
    </row>
    <row r="743">
      <c r="A743" s="2">
        <v>46224.62384206019</v>
      </c>
      <c r="B743" s="1" t="s">
        <v>181</v>
      </c>
    </row>
    <row r="744">
      <c r="A744" s="2">
        <v>46224.62384901621</v>
      </c>
      <c r="B744" s="1" t="s">
        <v>183</v>
      </c>
    </row>
    <row r="745">
      <c r="A745" s="2">
        <v>46224.68766135417</v>
      </c>
      <c r="B745" s="1" t="s">
        <v>810</v>
      </c>
    </row>
    <row r="746">
      <c r="A746" s="2">
        <v>46224.68768224537</v>
      </c>
      <c r="B746" s="1" t="s">
        <v>822</v>
      </c>
    </row>
    <row r="747">
      <c r="A747" s="2">
        <v>46224.68769497685</v>
      </c>
      <c r="B747" s="1" t="s">
        <v>823</v>
      </c>
    </row>
    <row r="748">
      <c r="A748" s="2">
        <v>46224.6878274537</v>
      </c>
      <c r="B748" s="1" t="s">
        <v>821</v>
      </c>
    </row>
    <row r="749">
      <c r="A749" s="2">
        <v>46224.68784982639</v>
      </c>
      <c r="B749" s="1" t="s">
        <v>221</v>
      </c>
    </row>
    <row r="750">
      <c r="A750" s="2">
        <v>46224.68786049768</v>
      </c>
      <c r="B750" s="1" t="s">
        <v>222</v>
      </c>
    </row>
    <row r="751">
      <c r="A751" s="2">
        <v>46230.412965208336</v>
      </c>
      <c r="B751" s="1" t="s">
        <v>603</v>
      </c>
      <c r="C751" s="1" t="s">
        <v>604</v>
      </c>
      <c r="D751" s="1" t="s">
        <v>62</v>
      </c>
      <c r="E751" s="1" t="s">
        <v>215</v>
      </c>
      <c r="F751" s="1" t="s">
        <v>824</v>
      </c>
    </row>
    <row r="752">
      <c r="A752" s="2">
        <v>46230.41688780092</v>
      </c>
      <c r="B752" s="1" t="s">
        <v>603</v>
      </c>
      <c r="C752" s="1" t="s">
        <v>604</v>
      </c>
      <c r="D752" s="1" t="s">
        <v>62</v>
      </c>
      <c r="E752" s="1" t="s">
        <v>215</v>
      </c>
      <c r="F752" s="1" t="s">
        <v>825</v>
      </c>
    </row>
    <row r="753">
      <c r="A753" s="2">
        <v>46230.458760821755</v>
      </c>
      <c r="B753" s="1" t="s">
        <v>826</v>
      </c>
    </row>
    <row r="754">
      <c r="A754" s="2">
        <v>46230.45877837963</v>
      </c>
      <c r="B754" s="1" t="s">
        <v>37</v>
      </c>
    </row>
    <row r="755">
      <c r="A755" s="2">
        <v>46230.45878726852</v>
      </c>
      <c r="B755" s="1" t="s">
        <v>53</v>
      </c>
    </row>
    <row r="756">
      <c r="A756" s="2">
        <v>46230.622088425924</v>
      </c>
      <c r="B756" s="1" t="s">
        <v>603</v>
      </c>
      <c r="C756" s="1" t="s">
        <v>604</v>
      </c>
      <c r="D756" s="1" t="s">
        <v>62</v>
      </c>
      <c r="E756" s="1" t="s">
        <v>215</v>
      </c>
      <c r="F756" s="1" t="s">
        <v>827</v>
      </c>
    </row>
    <row r="757">
      <c r="A757" s="2">
        <v>46231.41727347222</v>
      </c>
      <c r="B757" s="1" t="s">
        <v>826</v>
      </c>
    </row>
    <row r="758">
      <c r="A758" s="2">
        <v>46231.4172884838</v>
      </c>
      <c r="B758" s="1" t="s">
        <v>283</v>
      </c>
    </row>
    <row r="759">
      <c r="A759" s="2">
        <v>46231.417294363426</v>
      </c>
      <c r="B759" s="1" t="s">
        <v>284</v>
      </c>
    </row>
    <row r="760">
      <c r="A760" s="2">
        <v>46232.47010560185</v>
      </c>
      <c r="B760" s="1" t="s">
        <v>826</v>
      </c>
    </row>
    <row r="761">
      <c r="A761" s="2">
        <v>46232.470127395834</v>
      </c>
      <c r="B761" s="1" t="s">
        <v>181</v>
      </c>
    </row>
    <row r="762">
      <c r="A762" s="2">
        <v>46232.4701360301</v>
      </c>
      <c r="B762" s="1" t="s">
        <v>183</v>
      </c>
    </row>
    <row r="763">
      <c r="A763" s="2">
        <v>46232.71042207176</v>
      </c>
      <c r="B763" s="1" t="s">
        <v>829</v>
      </c>
    </row>
    <row r="764">
      <c r="A764" s="2">
        <v>46232.71044215278</v>
      </c>
      <c r="B764" s="1" t="s">
        <v>37</v>
      </c>
    </row>
    <row r="765">
      <c r="A765" s="2">
        <v>46232.710451273146</v>
      </c>
      <c r="B765" s="1" t="s">
        <v>53</v>
      </c>
    </row>
    <row r="766">
      <c r="A766" s="2">
        <v>46233.41758384259</v>
      </c>
      <c r="B766" s="1" t="s">
        <v>830</v>
      </c>
    </row>
    <row r="767">
      <c r="A767" s="2">
        <v>46233.41761733797</v>
      </c>
      <c r="B767" s="1" t="s">
        <v>37</v>
      </c>
    </row>
    <row r="768">
      <c r="A768" s="2">
        <v>46233.417630462965</v>
      </c>
      <c r="B768" s="1" t="s">
        <v>53</v>
      </c>
    </row>
    <row r="769">
      <c r="A769" s="2">
        <v>46233.5428034838</v>
      </c>
      <c r="B769" s="1" t="s">
        <v>829</v>
      </c>
    </row>
    <row r="770">
      <c r="A770" s="2">
        <v>46233.54281965278</v>
      </c>
      <c r="B770" s="1" t="s">
        <v>283</v>
      </c>
    </row>
    <row r="771">
      <c r="A771" s="2">
        <v>46233.5428271875</v>
      </c>
      <c r="B771" s="1" t="s">
        <v>284</v>
      </c>
    </row>
    <row r="772">
      <c r="A772" s="2">
        <v>46233.547250648146</v>
      </c>
      <c r="B772" s="1" t="s">
        <v>830</v>
      </c>
    </row>
    <row r="773">
      <c r="A773" s="2">
        <v>46233.5472844676</v>
      </c>
      <c r="B773" s="1" t="s">
        <v>745</v>
      </c>
    </row>
    <row r="774">
      <c r="A774" s="2">
        <v>46233.54729188657</v>
      </c>
      <c r="B774" s="1" t="s">
        <v>746</v>
      </c>
    </row>
    <row r="775">
      <c r="A775" s="2">
        <v>46237.39131918982</v>
      </c>
      <c r="B775" s="1" t="s">
        <v>831</v>
      </c>
    </row>
    <row r="776">
      <c r="A776" s="2">
        <v>46237.39135542824</v>
      </c>
      <c r="B776" s="1" t="s">
        <v>37</v>
      </c>
    </row>
    <row r="777">
      <c r="A777" s="2">
        <v>46237.391371273145</v>
      </c>
      <c r="B777" s="1" t="s">
        <v>53</v>
      </c>
    </row>
    <row r="778">
      <c r="A778" s="2">
        <v>46238.40112922454</v>
      </c>
      <c r="B778" s="1" t="s">
        <v>831</v>
      </c>
    </row>
    <row r="779">
      <c r="A779" s="2">
        <v>46238.401142523144</v>
      </c>
      <c r="B779" s="1" t="s">
        <v>283</v>
      </c>
    </row>
    <row r="780">
      <c r="A780" s="2">
        <v>46238.40114771991</v>
      </c>
      <c r="B780" s="1" t="s">
        <v>284</v>
      </c>
    </row>
    <row r="781">
      <c r="A781" s="2">
        <v>46238.41358472222</v>
      </c>
      <c r="B781" s="1" t="s">
        <v>829</v>
      </c>
    </row>
    <row r="782">
      <c r="A782" s="2">
        <v>46238.41361567129</v>
      </c>
      <c r="B782" s="1" t="s">
        <v>181</v>
      </c>
    </row>
    <row r="783">
      <c r="A783" s="2">
        <v>46238.41362364583</v>
      </c>
      <c r="B783" s="1" t="s">
        <v>183</v>
      </c>
    </row>
    <row r="784">
      <c r="A784" s="2">
        <v>46238.413742743054</v>
      </c>
      <c r="B784" s="1" t="s">
        <v>831</v>
      </c>
    </row>
    <row r="785">
      <c r="A785" s="2">
        <v>46238.41376826389</v>
      </c>
      <c r="B785" s="1" t="s">
        <v>181</v>
      </c>
    </row>
    <row r="786">
      <c r="A786" s="2">
        <v>46238.41378650463</v>
      </c>
      <c r="B786" s="1" t="s">
        <v>183</v>
      </c>
    </row>
    <row r="787">
      <c r="A787" s="2">
        <v>46239.50608825231</v>
      </c>
      <c r="B787" s="1" t="s">
        <v>833</v>
      </c>
    </row>
    <row r="788">
      <c r="A788" s="2">
        <v>46239.50620741898</v>
      </c>
      <c r="B788" s="1" t="s">
        <v>37</v>
      </c>
    </row>
    <row r="789">
      <c r="A789" s="2">
        <v>46239.50622388889</v>
      </c>
      <c r="B789" s="1" t="s">
        <v>53</v>
      </c>
    </row>
    <row r="790">
      <c r="A790" s="2">
        <v>46239.50801061343</v>
      </c>
      <c r="B790" s="1" t="s">
        <v>836</v>
      </c>
    </row>
    <row r="791">
      <c r="A791" s="2">
        <v>46239.50804060185</v>
      </c>
      <c r="B791" s="1" t="s">
        <v>37</v>
      </c>
    </row>
    <row r="792">
      <c r="A792" s="2">
        <v>46239.50806337963</v>
      </c>
      <c r="B792" s="1" t="s">
        <v>53</v>
      </c>
    </row>
    <row r="793">
      <c r="A793" s="2">
        <v>46240.43781238426</v>
      </c>
      <c r="B793" s="1" t="s">
        <v>767</v>
      </c>
    </row>
    <row r="794">
      <c r="A794" s="2">
        <v>46240.43782450231</v>
      </c>
      <c r="B794" s="1" t="s">
        <v>745</v>
      </c>
    </row>
    <row r="795">
      <c r="A795" s="2">
        <v>46240.437839907405</v>
      </c>
      <c r="B795" s="1" t="s">
        <v>746</v>
      </c>
    </row>
    <row r="796">
      <c r="A796" s="2">
        <v>46240.70778361111</v>
      </c>
      <c r="B796" s="1" t="s">
        <v>838</v>
      </c>
    </row>
    <row r="797">
      <c r="A797" s="2">
        <v>46240.70781928241</v>
      </c>
      <c r="B797" s="1" t="s">
        <v>37</v>
      </c>
    </row>
    <row r="798">
      <c r="A798" s="2">
        <v>46240.7078415625</v>
      </c>
      <c r="B798" s="1" t="s">
        <v>53</v>
      </c>
    </row>
    <row r="799">
      <c r="A799" s="2">
        <v>46240.71243518518</v>
      </c>
      <c r="B799" s="1" t="s">
        <v>833</v>
      </c>
    </row>
    <row r="800">
      <c r="A800" s="2">
        <v>46240.71247075232</v>
      </c>
      <c r="B800" s="1" t="s">
        <v>283</v>
      </c>
    </row>
    <row r="801">
      <c r="A801" s="2">
        <v>46240.71249309028</v>
      </c>
      <c r="B801" s="1" t="s">
        <v>284</v>
      </c>
    </row>
    <row r="802">
      <c r="A802" s="2">
        <v>46240.713444699075</v>
      </c>
      <c r="B802" s="1" t="s">
        <v>838</v>
      </c>
    </row>
    <row r="803">
      <c r="A803" s="2">
        <v>46240.71348091435</v>
      </c>
      <c r="B803" s="1" t="s">
        <v>283</v>
      </c>
    </row>
    <row r="804">
      <c r="A804" s="2">
        <v>46240.71349577546</v>
      </c>
      <c r="B804" s="1" t="s">
        <v>284</v>
      </c>
    </row>
    <row r="805">
      <c r="A805" s="2">
        <v>46240.71423157408</v>
      </c>
      <c r="B805" s="1" t="s">
        <v>838</v>
      </c>
    </row>
    <row r="806">
      <c r="A806" s="2">
        <v>46240.71426446759</v>
      </c>
      <c r="B806" s="1" t="s">
        <v>283</v>
      </c>
    </row>
    <row r="807">
      <c r="A807" s="2">
        <v>46240.714274768514</v>
      </c>
      <c r="B807" s="1" t="s">
        <v>284</v>
      </c>
    </row>
    <row r="808">
      <c r="A808" s="2">
        <v>46240.715010127315</v>
      </c>
      <c r="B808" s="1" t="s">
        <v>836</v>
      </c>
    </row>
    <row r="809">
      <c r="A809" s="2">
        <v>46240.71504796296</v>
      </c>
      <c r="B809" s="1" t="s">
        <v>283</v>
      </c>
    </row>
    <row r="810">
      <c r="A810" s="2">
        <v>46240.715060567134</v>
      </c>
      <c r="B810" s="1" t="s">
        <v>284</v>
      </c>
    </row>
    <row r="811">
      <c r="A811" s="2">
        <v>46240.71607807871</v>
      </c>
      <c r="B811" s="1" t="s">
        <v>833</v>
      </c>
    </row>
    <row r="812">
      <c r="A812" s="2">
        <v>46240.71611145833</v>
      </c>
      <c r="B812" s="1" t="s">
        <v>181</v>
      </c>
    </row>
    <row r="813">
      <c r="A813" s="2">
        <v>46240.71612827547</v>
      </c>
      <c r="B813" s="1" t="s">
        <v>183</v>
      </c>
    </row>
    <row r="814">
      <c r="A814" s="2">
        <v>46240.72407626157</v>
      </c>
      <c r="B814" s="1" t="s">
        <v>836</v>
      </c>
    </row>
    <row r="815">
      <c r="A815" s="2">
        <v>46240.724104953704</v>
      </c>
      <c r="B815" s="1" t="s">
        <v>181</v>
      </c>
    </row>
    <row r="816">
      <c r="A816" s="2">
        <v>46240.72411909723</v>
      </c>
      <c r="B816" s="1" t="s">
        <v>183</v>
      </c>
    </row>
    <row r="817">
      <c r="A817" s="2">
        <v>46240.73129365741</v>
      </c>
      <c r="B817" s="1" t="s">
        <v>842</v>
      </c>
    </row>
    <row r="818">
      <c r="A818" s="2">
        <v>46240.73131606482</v>
      </c>
      <c r="B818" s="1" t="s">
        <v>37</v>
      </c>
    </row>
    <row r="819">
      <c r="A819" s="2">
        <v>46240.731327800924</v>
      </c>
      <c r="B819" s="1" t="s">
        <v>53</v>
      </c>
    </row>
    <row r="820">
      <c r="A820" s="2">
        <v>46241.39073428241</v>
      </c>
      <c r="B820" s="1" t="s">
        <v>842</v>
      </c>
    </row>
    <row r="821">
      <c r="A821" s="2">
        <v>46241.390748969905</v>
      </c>
      <c r="B821" s="1" t="s">
        <v>283</v>
      </c>
    </row>
    <row r="822">
      <c r="A822" s="2">
        <v>46241.390756875</v>
      </c>
      <c r="B822" s="1" t="s">
        <v>284</v>
      </c>
    </row>
    <row r="823">
      <c r="A823" s="2">
        <v>46241.47761587963</v>
      </c>
      <c r="B823" s="1" t="s">
        <v>761</v>
      </c>
    </row>
    <row r="824">
      <c r="A824" s="2">
        <v>46241.477642303245</v>
      </c>
      <c r="B824" s="1" t="s">
        <v>745</v>
      </c>
    </row>
    <row r="825">
      <c r="A825" s="2">
        <v>46241.47765537037</v>
      </c>
      <c r="B825" s="1" t="s">
        <v>746</v>
      </c>
    </row>
    <row r="826">
      <c r="A826" s="2">
        <v>46241.53293435185</v>
      </c>
      <c r="B826" s="1" t="s">
        <v>843</v>
      </c>
    </row>
    <row r="827">
      <c r="A827" s="2">
        <v>46241.53295309028</v>
      </c>
      <c r="B827" s="1" t="s">
        <v>37</v>
      </c>
    </row>
    <row r="828">
      <c r="A828" s="2">
        <v>46241.53296174768</v>
      </c>
      <c r="B828" s="1" t="s">
        <v>53</v>
      </c>
    </row>
    <row r="829">
      <c r="A829" s="2">
        <v>46245.38187931713</v>
      </c>
      <c r="B829" s="1" t="s">
        <v>843</v>
      </c>
    </row>
    <row r="830">
      <c r="A830" s="2">
        <v>46245.38190068287</v>
      </c>
      <c r="B830" s="1" t="s">
        <v>283</v>
      </c>
    </row>
    <row r="831">
      <c r="A831" s="2">
        <v>46245.38191283565</v>
      </c>
      <c r="B831" s="1" t="s">
        <v>284</v>
      </c>
    </row>
    <row r="832">
      <c r="A832" s="2">
        <v>46245.38452555556</v>
      </c>
      <c r="B832" s="1" t="s">
        <v>846</v>
      </c>
    </row>
    <row r="833">
      <c r="A833" s="2">
        <v>46245.38455725694</v>
      </c>
      <c r="B833" s="1" t="s">
        <v>37</v>
      </c>
    </row>
    <row r="834">
      <c r="A834" s="2">
        <v>46245.38456464121</v>
      </c>
      <c r="B834" s="1" t="s">
        <v>53</v>
      </c>
    </row>
    <row r="835">
      <c r="A835" s="2">
        <v>46245.38845983797</v>
      </c>
      <c r="B835" s="1" t="s">
        <v>848</v>
      </c>
    </row>
    <row r="836">
      <c r="A836" s="2">
        <v>46245.38848013889</v>
      </c>
      <c r="B836" s="1" t="s">
        <v>37</v>
      </c>
    </row>
    <row r="837">
      <c r="A837" s="2">
        <v>46245.38849145833</v>
      </c>
      <c r="B837" s="1" t="s">
        <v>53</v>
      </c>
    </row>
    <row r="838">
      <c r="A838" s="2">
        <v>46245.618410069445</v>
      </c>
      <c r="B838" s="1" t="s">
        <v>838</v>
      </c>
    </row>
    <row r="839">
      <c r="A839" s="2">
        <v>46245.618430138886</v>
      </c>
      <c r="B839" s="1" t="s">
        <v>181</v>
      </c>
    </row>
    <row r="840">
      <c r="A840" s="2">
        <v>46245.61843847222</v>
      </c>
      <c r="B840" s="1" t="s">
        <v>183</v>
      </c>
    </row>
    <row r="841">
      <c r="A841" s="2">
        <v>46245.618579999995</v>
      </c>
      <c r="B841" s="1" t="s">
        <v>842</v>
      </c>
    </row>
    <row r="842">
      <c r="A842" s="2">
        <v>46245.61859960648</v>
      </c>
      <c r="B842" s="1" t="s">
        <v>181</v>
      </c>
    </row>
    <row r="843">
      <c r="A843" s="2">
        <v>46245.618612164355</v>
      </c>
      <c r="B843" s="1" t="s">
        <v>183</v>
      </c>
    </row>
    <row r="844">
      <c r="A844" s="2">
        <v>46245.61875865741</v>
      </c>
      <c r="B844" s="1" t="s">
        <v>843</v>
      </c>
    </row>
    <row r="845">
      <c r="A845" s="2">
        <v>46245.61877108796</v>
      </c>
      <c r="B845" s="1" t="s">
        <v>181</v>
      </c>
    </row>
    <row r="846">
      <c r="A846" s="2">
        <v>46245.61877862268</v>
      </c>
      <c r="B846" s="1" t="s">
        <v>183</v>
      </c>
    </row>
    <row r="847">
      <c r="A847" s="2">
        <v>46245.64027366898</v>
      </c>
      <c r="B847" s="1" t="s">
        <v>826</v>
      </c>
    </row>
    <row r="848">
      <c r="A848" s="2">
        <v>46245.64029736111</v>
      </c>
      <c r="B848" s="1" t="s">
        <v>221</v>
      </c>
    </row>
    <row r="849">
      <c r="A849" s="2">
        <v>46245.64030428241</v>
      </c>
      <c r="B849" s="1" t="s">
        <v>222</v>
      </c>
    </row>
    <row r="850">
      <c r="A850" s="2">
        <v>46245.64097438657</v>
      </c>
      <c r="B850" s="1" t="s">
        <v>829</v>
      </c>
    </row>
    <row r="851">
      <c r="A851" s="2">
        <v>46245.6409927662</v>
      </c>
      <c r="B851" s="1" t="s">
        <v>479</v>
      </c>
    </row>
    <row r="852">
      <c r="A852" s="2">
        <v>46245.6409999537</v>
      </c>
      <c r="B852" s="1" t="s">
        <v>480</v>
      </c>
    </row>
    <row r="853">
      <c r="A853" s="2">
        <v>46245.64115304398</v>
      </c>
      <c r="B853" s="1" t="s">
        <v>831</v>
      </c>
    </row>
    <row r="854">
      <c r="A854" s="2">
        <v>46245.641188912035</v>
      </c>
      <c r="B854" s="1" t="s">
        <v>136</v>
      </c>
    </row>
    <row r="855">
      <c r="A855" s="2">
        <v>46245.64120738426</v>
      </c>
      <c r="B855" s="1" t="s">
        <v>141</v>
      </c>
    </row>
    <row r="856">
      <c r="A856" s="2">
        <v>46245.64139488426</v>
      </c>
      <c r="B856" s="1" t="s">
        <v>833</v>
      </c>
    </row>
    <row r="857">
      <c r="A857" s="2">
        <v>46245.64142319444</v>
      </c>
      <c r="B857" s="1" t="s">
        <v>221</v>
      </c>
    </row>
    <row r="858">
      <c r="A858" s="2">
        <v>46245.64142900463</v>
      </c>
      <c r="B858" s="1" t="s">
        <v>222</v>
      </c>
    </row>
    <row r="859">
      <c r="A859" s="2">
        <v>46245.64155407407</v>
      </c>
      <c r="B859" s="1" t="s">
        <v>836</v>
      </c>
    </row>
    <row r="860">
      <c r="A860" s="2">
        <v>46245.64157958333</v>
      </c>
      <c r="B860" s="1" t="s">
        <v>221</v>
      </c>
    </row>
    <row r="861">
      <c r="A861" s="2">
        <v>46245.64158863426</v>
      </c>
      <c r="B861" s="1" t="s">
        <v>222</v>
      </c>
    </row>
    <row r="862">
      <c r="A862" s="2">
        <v>46245.64170328704</v>
      </c>
      <c r="B862" s="1" t="s">
        <v>838</v>
      </c>
    </row>
    <row r="863">
      <c r="A863" s="2">
        <v>46245.64173186343</v>
      </c>
      <c r="B863" s="1" t="s">
        <v>136</v>
      </c>
    </row>
    <row r="864">
      <c r="A864" s="2">
        <v>46245.64175185185</v>
      </c>
      <c r="B864" s="1" t="s">
        <v>141</v>
      </c>
    </row>
    <row r="865">
      <c r="A865" s="2">
        <v>46245.641919444446</v>
      </c>
      <c r="B865" s="1" t="s">
        <v>842</v>
      </c>
    </row>
    <row r="866">
      <c r="A866" s="2">
        <v>46245.64194188657</v>
      </c>
      <c r="B866" s="1" t="s">
        <v>822</v>
      </c>
    </row>
    <row r="867">
      <c r="A867" s="2">
        <v>46245.6419545949</v>
      </c>
      <c r="B867" s="1" t="s">
        <v>823</v>
      </c>
    </row>
    <row r="868">
      <c r="A868" s="2">
        <v>46245.64204293981</v>
      </c>
      <c r="B868" s="1" t="s">
        <v>843</v>
      </c>
    </row>
    <row r="869">
      <c r="A869" s="2">
        <v>46245.642061122686</v>
      </c>
      <c r="B869" s="1" t="s">
        <v>221</v>
      </c>
    </row>
    <row r="870">
      <c r="A870" s="2">
        <v>46245.64207107639</v>
      </c>
      <c r="B870" s="1" t="s">
        <v>222</v>
      </c>
    </row>
    <row r="871">
      <c r="A871" s="2">
        <v>46245.66832981481</v>
      </c>
      <c r="B871" s="1" t="s">
        <v>851</v>
      </c>
    </row>
    <row r="872">
      <c r="A872" s="2">
        <v>46245.668355648144</v>
      </c>
      <c r="B872" s="1" t="s">
        <v>37</v>
      </c>
    </row>
    <row r="873">
      <c r="A873" s="2">
        <v>46245.66836388889</v>
      </c>
      <c r="B873" s="1" t="s">
        <v>53</v>
      </c>
    </row>
    <row r="874">
      <c r="A874" s="2">
        <v>46245.67351403935</v>
      </c>
      <c r="B874" s="1" t="s">
        <v>853</v>
      </c>
    </row>
    <row r="875">
      <c r="A875" s="2">
        <v>46245.6735403125</v>
      </c>
      <c r="B875" s="1" t="s">
        <v>37</v>
      </c>
    </row>
    <row r="876">
      <c r="A876" s="2">
        <v>46245.6735609375</v>
      </c>
      <c r="B876" s="1" t="s">
        <v>53</v>
      </c>
    </row>
    <row r="877">
      <c r="A877" s="2">
        <v>46252.48025636574</v>
      </c>
      <c r="B877" s="1" t="s">
        <v>855</v>
      </c>
    </row>
    <row r="878">
      <c r="A878" s="2">
        <v>46252.48027540509</v>
      </c>
      <c r="B878" s="1" t="s">
        <v>37</v>
      </c>
    </row>
    <row r="879">
      <c r="A879" s="2">
        <v>46252.48029018518</v>
      </c>
      <c r="B879" s="1" t="s">
        <v>53</v>
      </c>
    </row>
    <row r="880">
      <c r="A880" s="2">
        <v>46252.48490460648</v>
      </c>
      <c r="B880" s="1" t="s">
        <v>603</v>
      </c>
      <c r="C880" s="1" t="s">
        <v>604</v>
      </c>
      <c r="D880" s="1" t="s">
        <v>62</v>
      </c>
      <c r="E880" s="1" t="s">
        <v>215</v>
      </c>
      <c r="F880" s="1" t="s">
        <v>857</v>
      </c>
    </row>
    <row r="881">
      <c r="A881" s="2">
        <v>46252.490836192126</v>
      </c>
      <c r="B881" s="1" t="s">
        <v>858</v>
      </c>
    </row>
    <row r="882">
      <c r="A882" s="2">
        <v>46252.49085417824</v>
      </c>
      <c r="B882" s="1" t="s">
        <v>37</v>
      </c>
    </row>
    <row r="883">
      <c r="A883" s="2">
        <v>46252.49086211805</v>
      </c>
      <c r="B883" s="1" t="s">
        <v>53</v>
      </c>
    </row>
    <row r="884">
      <c r="A884" s="2">
        <v>46252.498258356485</v>
      </c>
      <c r="B884" s="1" t="s">
        <v>855</v>
      </c>
    </row>
    <row r="885">
      <c r="A885" s="2">
        <v>46252.49828701389</v>
      </c>
      <c r="B885" s="1" t="s">
        <v>283</v>
      </c>
    </row>
    <row r="886">
      <c r="A886" s="2">
        <v>46252.49829700231</v>
      </c>
      <c r="B886" s="1" t="s">
        <v>284</v>
      </c>
    </row>
    <row r="887">
      <c r="A887" s="2">
        <v>46252.49858177084</v>
      </c>
      <c r="B887" s="1" t="s">
        <v>853</v>
      </c>
    </row>
    <row r="888">
      <c r="A888" s="2">
        <v>46252.498601018524</v>
      </c>
      <c r="B888" s="1" t="s">
        <v>283</v>
      </c>
    </row>
    <row r="889">
      <c r="A889" s="2">
        <v>46252.49860763889</v>
      </c>
      <c r="B889" s="1" t="s">
        <v>284</v>
      </c>
    </row>
    <row r="890">
      <c r="A890" s="2">
        <v>46252.49883033565</v>
      </c>
      <c r="B890" s="1" t="s">
        <v>848</v>
      </c>
    </row>
    <row r="891">
      <c r="A891" s="2">
        <v>46252.498852476856</v>
      </c>
      <c r="B891" s="1" t="s">
        <v>283</v>
      </c>
    </row>
    <row r="892">
      <c r="A892" s="2">
        <v>46252.49886365741</v>
      </c>
      <c r="B892" s="1" t="s">
        <v>284</v>
      </c>
    </row>
    <row r="893">
      <c r="A893" s="2">
        <v>46252.49901216435</v>
      </c>
      <c r="B893" s="1" t="s">
        <v>851</v>
      </c>
    </row>
    <row r="894">
      <c r="A894" s="2">
        <v>46252.49903478009</v>
      </c>
      <c r="B894" s="1" t="s">
        <v>283</v>
      </c>
    </row>
    <row r="895">
      <c r="A895" s="2">
        <v>46252.49904556713</v>
      </c>
      <c r="B895" s="1" t="s">
        <v>284</v>
      </c>
    </row>
    <row r="896">
      <c r="A896" s="2">
        <v>46252.49967653935</v>
      </c>
      <c r="B896" s="1" t="s">
        <v>846</v>
      </c>
    </row>
    <row r="897">
      <c r="A897" s="2">
        <v>46252.4996975463</v>
      </c>
      <c r="B897" s="1" t="s">
        <v>283</v>
      </c>
    </row>
    <row r="898">
      <c r="A898" s="2">
        <v>46252.499709780095</v>
      </c>
      <c r="B898" s="1" t="s">
        <v>284</v>
      </c>
    </row>
    <row r="899">
      <c r="A899" s="2">
        <v>46253.47490189815</v>
      </c>
      <c r="B899" s="1" t="s">
        <v>858</v>
      </c>
    </row>
    <row r="900">
      <c r="A900" s="2">
        <v>46253.47492666666</v>
      </c>
      <c r="B900" s="1" t="s">
        <v>283</v>
      </c>
    </row>
    <row r="901">
      <c r="A901" s="2">
        <v>46253.474932488425</v>
      </c>
      <c r="B901" s="1" t="s">
        <v>284</v>
      </c>
    </row>
    <row r="902">
      <c r="A902" s="2">
        <v>46254.40872064815</v>
      </c>
      <c r="B902" s="1" t="s">
        <v>603</v>
      </c>
      <c r="C902" s="1" t="s">
        <v>604</v>
      </c>
      <c r="D902" s="1" t="s">
        <v>62</v>
      </c>
      <c r="E902" s="1" t="s">
        <v>215</v>
      </c>
      <c r="F902" s="1" t="s">
        <v>873</v>
      </c>
    </row>
    <row r="903">
      <c r="A903" s="2">
        <v>46254.602795266204</v>
      </c>
      <c r="B903" s="1" t="s">
        <v>858</v>
      </c>
    </row>
    <row r="904">
      <c r="A904" s="2">
        <v>46254.60281293982</v>
      </c>
      <c r="B904" s="1" t="s">
        <v>181</v>
      </c>
    </row>
    <row r="905">
      <c r="A905" s="2">
        <v>46254.60282140046</v>
      </c>
      <c r="B905" s="1" t="s">
        <v>183</v>
      </c>
    </row>
    <row r="906">
      <c r="A906" s="2">
        <v>46254.60302167824</v>
      </c>
      <c r="B906" s="1" t="s">
        <v>855</v>
      </c>
    </row>
    <row r="907">
      <c r="A907" s="2">
        <v>46254.603052210645</v>
      </c>
      <c r="B907" s="1" t="s">
        <v>181</v>
      </c>
    </row>
    <row r="908">
      <c r="A908" s="2">
        <v>46254.603059270834</v>
      </c>
      <c r="B908" s="1" t="s">
        <v>183</v>
      </c>
    </row>
    <row r="909">
      <c r="A909" s="2">
        <v>46254.603178888894</v>
      </c>
      <c r="B909" s="1" t="s">
        <v>853</v>
      </c>
    </row>
    <row r="910">
      <c r="A910" s="2">
        <v>46254.60320585648</v>
      </c>
      <c r="B910" s="1" t="s">
        <v>181</v>
      </c>
    </row>
    <row r="911">
      <c r="A911" s="2">
        <v>46254.603213912036</v>
      </c>
      <c r="B911" s="1" t="s">
        <v>183</v>
      </c>
    </row>
    <row r="912">
      <c r="A912" s="2">
        <v>46254.60328833333</v>
      </c>
      <c r="B912" s="1" t="s">
        <v>851</v>
      </c>
    </row>
    <row r="913">
      <c r="A913" s="2">
        <v>46254.60332275463</v>
      </c>
      <c r="B913" s="1" t="s">
        <v>181</v>
      </c>
    </row>
    <row r="914">
      <c r="A914" s="2">
        <v>46254.60333087963</v>
      </c>
      <c r="B914" s="1" t="s">
        <v>183</v>
      </c>
    </row>
    <row r="915">
      <c r="A915" s="2">
        <v>46254.603458356476</v>
      </c>
      <c r="B915" s="1" t="s">
        <v>848</v>
      </c>
    </row>
    <row r="916">
      <c r="A916" s="2">
        <v>46254.60348283565</v>
      </c>
      <c r="B916" s="1" t="s">
        <v>181</v>
      </c>
    </row>
    <row r="917">
      <c r="A917" s="2">
        <v>46254.603516550924</v>
      </c>
      <c r="B917" s="1" t="s">
        <v>183</v>
      </c>
    </row>
    <row r="918">
      <c r="A918" s="2">
        <v>46254.60359814815</v>
      </c>
      <c r="B918" s="1" t="s">
        <v>846</v>
      </c>
    </row>
    <row r="919">
      <c r="A919" s="2">
        <v>46254.603614884254</v>
      </c>
      <c r="B919" s="1" t="s">
        <v>181</v>
      </c>
    </row>
    <row r="920">
      <c r="A920" s="2">
        <v>46254.60362403935</v>
      </c>
      <c r="B920" s="1" t="s">
        <v>183</v>
      </c>
    </row>
    <row r="921">
      <c r="A921" s="2">
        <v>46254.6098565162</v>
      </c>
      <c r="B921" s="1" t="s">
        <v>858</v>
      </c>
    </row>
    <row r="922">
      <c r="A922" s="2">
        <v>46254.60989238426</v>
      </c>
      <c r="B922" s="1" t="s">
        <v>221</v>
      </c>
    </row>
    <row r="923">
      <c r="A923" s="2">
        <v>46254.60990501157</v>
      </c>
      <c r="B923" s="1" t="s">
        <v>222</v>
      </c>
    </row>
    <row r="924">
      <c r="A924" s="2">
        <v>46254.61074762732</v>
      </c>
      <c r="B924" s="1" t="s">
        <v>855</v>
      </c>
    </row>
    <row r="925">
      <c r="A925" s="2">
        <v>46254.61077555556</v>
      </c>
      <c r="B925" s="1" t="s">
        <v>479</v>
      </c>
    </row>
    <row r="926">
      <c r="A926" s="2">
        <v>46254.6107865625</v>
      </c>
      <c r="B926" s="1" t="s">
        <v>480</v>
      </c>
    </row>
    <row r="927">
      <c r="A927" s="2">
        <v>46254.61090076389</v>
      </c>
      <c r="B927" s="1" t="s">
        <v>853</v>
      </c>
    </row>
    <row r="928">
      <c r="A928" s="2">
        <v>46254.610919583334</v>
      </c>
      <c r="B928" s="1" t="s">
        <v>221</v>
      </c>
    </row>
    <row r="929">
      <c r="A929" s="2">
        <v>46254.61092924769</v>
      </c>
      <c r="B929" s="1" t="s">
        <v>222</v>
      </c>
    </row>
    <row r="930">
      <c r="A930" s="2">
        <v>46254.611012442125</v>
      </c>
      <c r="B930" s="1" t="s">
        <v>851</v>
      </c>
    </row>
    <row r="931">
      <c r="A931" s="2">
        <v>46254.61102846065</v>
      </c>
      <c r="B931" s="1" t="s">
        <v>221</v>
      </c>
    </row>
    <row r="932">
      <c r="A932" s="2">
        <v>46254.611037731476</v>
      </c>
      <c r="B932" s="1" t="s">
        <v>222</v>
      </c>
    </row>
    <row r="933">
      <c r="A933" s="2">
        <v>46254.611138506945</v>
      </c>
      <c r="B933" s="1" t="s">
        <v>848</v>
      </c>
    </row>
    <row r="934">
      <c r="A934" s="2">
        <v>46254.61115956018</v>
      </c>
      <c r="B934" s="1" t="s">
        <v>136</v>
      </c>
    </row>
    <row r="935">
      <c r="A935" s="2">
        <v>46254.61116905093</v>
      </c>
      <c r="B935" s="1" t="s">
        <v>141</v>
      </c>
    </row>
    <row r="936">
      <c r="A936" s="2">
        <v>46254.611267615735</v>
      </c>
      <c r="B936" s="1" t="s">
        <v>846</v>
      </c>
    </row>
    <row r="937">
      <c r="A937" s="2">
        <v>46254.611301909725</v>
      </c>
      <c r="B937" s="1" t="s">
        <v>136</v>
      </c>
    </row>
    <row r="938">
      <c r="A938" s="2">
        <v>46254.611313692134</v>
      </c>
      <c r="B938" s="1" t="s">
        <v>141</v>
      </c>
    </row>
    <row r="939">
      <c r="A939" s="2">
        <v>46255.37647452546</v>
      </c>
      <c r="B939" s="1" t="s">
        <v>603</v>
      </c>
      <c r="C939" s="1" t="s">
        <v>604</v>
      </c>
      <c r="D939" s="1" t="s">
        <v>62</v>
      </c>
      <c r="E939" s="1" t="s">
        <v>215</v>
      </c>
      <c r="F939" s="1" t="s">
        <v>881</v>
      </c>
    </row>
    <row r="940">
      <c r="A940" s="2">
        <v>46258.405974016205</v>
      </c>
      <c r="B940" s="1" t="s">
        <v>882</v>
      </c>
    </row>
    <row r="941">
      <c r="A941" s="2">
        <v>46258.405992002314</v>
      </c>
      <c r="B941" s="1" t="s">
        <v>37</v>
      </c>
    </row>
    <row r="942">
      <c r="A942" s="2">
        <v>46258.40599883102</v>
      </c>
      <c r="B942" s="1" t="s">
        <v>53</v>
      </c>
    </row>
    <row r="943">
      <c r="A943" s="2">
        <v>46258.451718819444</v>
      </c>
      <c r="B943" s="1" t="s">
        <v>885</v>
      </c>
    </row>
    <row r="944">
      <c r="A944" s="2">
        <v>46258.45175724537</v>
      </c>
      <c r="B944" s="1" t="s">
        <v>37</v>
      </c>
    </row>
    <row r="945">
      <c r="A945" s="2">
        <v>46258.4517678125</v>
      </c>
      <c r="B945" s="1" t="s">
        <v>53</v>
      </c>
    </row>
    <row r="946">
      <c r="A946" s="2">
        <v>46260.43513921296</v>
      </c>
      <c r="B946" s="1" t="s">
        <v>603</v>
      </c>
      <c r="C946" s="1" t="s">
        <v>604</v>
      </c>
      <c r="D946" s="1" t="s">
        <v>62</v>
      </c>
      <c r="E946" s="1" t="s">
        <v>215</v>
      </c>
      <c r="F946" s="1" t="s">
        <v>886</v>
      </c>
    </row>
    <row r="947">
      <c r="A947" s="2">
        <v>46260.43805859954</v>
      </c>
      <c r="B947" s="1" t="s">
        <v>603</v>
      </c>
      <c r="C947" s="1" t="s">
        <v>604</v>
      </c>
      <c r="D947" s="1" t="s">
        <v>62</v>
      </c>
      <c r="E947" s="1" t="s">
        <v>215</v>
      </c>
      <c r="F947" s="1" t="s">
        <v>887</v>
      </c>
    </row>
    <row r="948">
      <c r="A948" s="2">
        <v>46260.43814935185</v>
      </c>
      <c r="B948" s="1" t="s">
        <v>603</v>
      </c>
      <c r="C948" s="1" t="s">
        <v>604</v>
      </c>
      <c r="D948" s="1" t="s">
        <v>62</v>
      </c>
      <c r="E948" s="1" t="s">
        <v>215</v>
      </c>
      <c r="F948" s="1" t="s">
        <v>887</v>
      </c>
    </row>
    <row r="949">
      <c r="A949" s="2">
        <v>46260.695310034724</v>
      </c>
      <c r="B949" s="1" t="s">
        <v>885</v>
      </c>
    </row>
    <row r="950">
      <c r="A950" s="2">
        <v>46260.69534918982</v>
      </c>
      <c r="B950" s="1" t="s">
        <v>283</v>
      </c>
    </row>
    <row r="951">
      <c r="A951" s="2">
        <v>46260.695359398145</v>
      </c>
      <c r="B951" s="1" t="s">
        <v>284</v>
      </c>
    </row>
    <row r="952">
      <c r="A952" s="2">
        <v>46260.695655613425</v>
      </c>
      <c r="B952" s="1" t="s">
        <v>882</v>
      </c>
    </row>
    <row r="953">
      <c r="A953" s="2">
        <v>46260.69568113426</v>
      </c>
      <c r="B953" s="1" t="s">
        <v>283</v>
      </c>
    </row>
    <row r="954">
      <c r="A954" s="2">
        <v>46260.69568842593</v>
      </c>
      <c r="B954" s="1" t="s">
        <v>284</v>
      </c>
    </row>
    <row r="955">
      <c r="A955" s="2">
        <v>46261.59482680555</v>
      </c>
      <c r="B955" s="1" t="s">
        <v>889</v>
      </c>
    </row>
    <row r="956">
      <c r="A956" s="2">
        <v>46261.594855856485</v>
      </c>
      <c r="B956" s="1" t="s">
        <v>37</v>
      </c>
    </row>
    <row r="957">
      <c r="A957" s="2">
        <v>46261.5948999074</v>
      </c>
      <c r="B957" s="1" t="s">
        <v>53</v>
      </c>
    </row>
    <row r="958">
      <c r="A958" s="2">
        <v>46261.595306331015</v>
      </c>
      <c r="B958" s="1" t="s">
        <v>890</v>
      </c>
    </row>
    <row r="959">
      <c r="A959" s="2">
        <v>46261.59535047454</v>
      </c>
      <c r="B959" s="1" t="s">
        <v>37</v>
      </c>
    </row>
    <row r="960">
      <c r="A960" s="2">
        <v>46261.59536688657</v>
      </c>
      <c r="B960" s="1" t="s">
        <v>53</v>
      </c>
    </row>
    <row r="961">
      <c r="A961" s="2">
        <v>46261.595737615746</v>
      </c>
      <c r="B961" s="1" t="s">
        <v>891</v>
      </c>
    </row>
    <row r="962">
      <c r="A962" s="2">
        <v>46261.59578166666</v>
      </c>
      <c r="B962" s="1" t="s">
        <v>37</v>
      </c>
    </row>
    <row r="963">
      <c r="A963" s="2">
        <v>46261.59579994213</v>
      </c>
      <c r="B963" s="1" t="s">
        <v>53</v>
      </c>
    </row>
    <row r="964">
      <c r="A964" s="2">
        <v>46262.46953732639</v>
      </c>
      <c r="B964" s="1" t="s">
        <v>889</v>
      </c>
    </row>
    <row r="965">
      <c r="A965" s="2">
        <v>46262.46955446759</v>
      </c>
      <c r="B965" s="1" t="s">
        <v>283</v>
      </c>
    </row>
    <row r="966">
      <c r="A966" s="2">
        <v>46262.46956293982</v>
      </c>
      <c r="B966" s="1" t="s">
        <v>284</v>
      </c>
    </row>
    <row r="967">
      <c r="A967" s="2">
        <v>46265.40879962963</v>
      </c>
      <c r="B967" s="1" t="s">
        <v>882</v>
      </c>
    </row>
    <row r="968">
      <c r="A968" s="2">
        <v>46265.408816446754</v>
      </c>
      <c r="B968" s="1" t="s">
        <v>181</v>
      </c>
    </row>
    <row r="969">
      <c r="A969" s="2">
        <v>46265.408822384255</v>
      </c>
      <c r="B969" s="1" t="s">
        <v>183</v>
      </c>
    </row>
    <row r="970">
      <c r="A970" s="2">
        <v>46265.4089420949</v>
      </c>
      <c r="B970" s="1" t="s">
        <v>885</v>
      </c>
    </row>
    <row r="971">
      <c r="A971" s="2">
        <v>46265.40896789352</v>
      </c>
      <c r="B971" s="1" t="s">
        <v>181</v>
      </c>
    </row>
    <row r="972">
      <c r="A972" s="2">
        <v>46265.408976817125</v>
      </c>
      <c r="B972" s="1" t="s">
        <v>183</v>
      </c>
    </row>
    <row r="973">
      <c r="A973" s="2">
        <v>46265.40905761574</v>
      </c>
      <c r="B973" s="1" t="s">
        <v>889</v>
      </c>
    </row>
    <row r="974">
      <c r="A974" s="2">
        <v>46265.40908519676</v>
      </c>
      <c r="B974" s="1" t="s">
        <v>181</v>
      </c>
    </row>
    <row r="975">
      <c r="A975" s="2">
        <v>46265.40910016204</v>
      </c>
      <c r="B975" s="1" t="s">
        <v>183</v>
      </c>
    </row>
    <row r="976">
      <c r="A976" s="2">
        <v>46265.42389907407</v>
      </c>
      <c r="B976" s="1" t="s">
        <v>889</v>
      </c>
    </row>
    <row r="977">
      <c r="A977" s="2">
        <v>46265.42392637732</v>
      </c>
      <c r="B977" s="1" t="s">
        <v>151</v>
      </c>
    </row>
    <row r="978">
      <c r="A978" s="2">
        <v>46265.423936701394</v>
      </c>
      <c r="B978" s="1" t="s">
        <v>153</v>
      </c>
    </row>
    <row r="979">
      <c r="A979" s="2">
        <v>46265.42409832176</v>
      </c>
      <c r="B979" s="1" t="s">
        <v>885</v>
      </c>
    </row>
    <row r="980">
      <c r="A980" s="2">
        <v>46265.42412894676</v>
      </c>
      <c r="B980" s="1" t="s">
        <v>151</v>
      </c>
    </row>
    <row r="981">
      <c r="A981" s="2">
        <v>46265.42413962963</v>
      </c>
      <c r="B981" s="1" t="s">
        <v>153</v>
      </c>
    </row>
    <row r="982">
      <c r="A982" s="2">
        <v>46265.424268877316</v>
      </c>
      <c r="B982" s="1" t="s">
        <v>882</v>
      </c>
    </row>
    <row r="983">
      <c r="A983" s="2">
        <v>46265.424314675925</v>
      </c>
      <c r="B983" s="1" t="s">
        <v>151</v>
      </c>
    </row>
    <row r="984">
      <c r="A984" s="2">
        <v>46265.42432564815</v>
      </c>
      <c r="B984" s="1" t="s">
        <v>153</v>
      </c>
    </row>
    <row r="985">
      <c r="A985" s="2">
        <v>46265.43562903935</v>
      </c>
      <c r="B985" s="1" t="s">
        <v>603</v>
      </c>
      <c r="C985" s="1" t="s">
        <v>604</v>
      </c>
      <c r="D985" s="1" t="s">
        <v>62</v>
      </c>
      <c r="E985" s="1" t="s">
        <v>215</v>
      </c>
      <c r="F985" s="1" t="s">
        <v>900</v>
      </c>
    </row>
    <row r="986">
      <c r="A986" s="2">
        <v>46265.586468090274</v>
      </c>
      <c r="B986" s="1" t="s">
        <v>901</v>
      </c>
    </row>
    <row r="987">
      <c r="A987" s="2">
        <v>46265.58650935185</v>
      </c>
      <c r="B987" s="1" t="s">
        <v>37</v>
      </c>
    </row>
    <row r="988">
      <c r="A988" s="2">
        <v>46265.58651833334</v>
      </c>
      <c r="B988" s="1" t="s">
        <v>53</v>
      </c>
    </row>
    <row r="989">
      <c r="A989" s="2">
        <v>46265.587026423615</v>
      </c>
      <c r="B989" s="1" t="s">
        <v>901</v>
      </c>
    </row>
    <row r="990">
      <c r="A990" s="2">
        <v>46265.587065520835</v>
      </c>
      <c r="B990" s="1" t="s">
        <v>136</v>
      </c>
    </row>
    <row r="991">
      <c r="A991" s="2">
        <v>46265.587080613426</v>
      </c>
      <c r="B991" s="1" t="s">
        <v>141</v>
      </c>
    </row>
    <row r="992">
      <c r="A992" s="2">
        <v>46265.58904847222</v>
      </c>
      <c r="B992" s="1" t="s">
        <v>902</v>
      </c>
    </row>
    <row r="993">
      <c r="A993" s="2">
        <v>46265.589071423616</v>
      </c>
      <c r="B993" s="1" t="s">
        <v>37</v>
      </c>
    </row>
    <row r="994">
      <c r="A994" s="2">
        <v>46265.58907905093</v>
      </c>
      <c r="B994" s="1" t="s">
        <v>53</v>
      </c>
    </row>
    <row r="995">
      <c r="A995" s="2">
        <v>46265.58953621528</v>
      </c>
      <c r="B995" s="1" t="s">
        <v>890</v>
      </c>
    </row>
    <row r="996">
      <c r="A996" s="2">
        <v>46265.58955550926</v>
      </c>
      <c r="B996" s="1" t="s">
        <v>283</v>
      </c>
    </row>
    <row r="997">
      <c r="A997" s="2">
        <v>46265.58956821759</v>
      </c>
      <c r="B997" s="1" t="s">
        <v>284</v>
      </c>
    </row>
    <row r="998">
      <c r="A998" s="2">
        <v>46265.589744259254</v>
      </c>
      <c r="B998" s="1" t="s">
        <v>891</v>
      </c>
    </row>
    <row r="999">
      <c r="A999" s="2">
        <v>46265.58977013889</v>
      </c>
      <c r="B999" s="1" t="s">
        <v>283</v>
      </c>
    </row>
    <row r="1000">
      <c r="A1000" s="2">
        <v>46265.58977950232</v>
      </c>
      <c r="B1000" s="1" t="s">
        <v>284</v>
      </c>
    </row>
    <row r="1001">
      <c r="A1001" s="2">
        <v>46265.594373368054</v>
      </c>
      <c r="B1001" s="1" t="s">
        <v>907</v>
      </c>
    </row>
    <row r="1002">
      <c r="A1002" s="2">
        <v>46265.59441309028</v>
      </c>
      <c r="B1002" s="1" t="s">
        <v>37</v>
      </c>
    </row>
    <row r="1003">
      <c r="A1003" s="2">
        <v>46265.59443055556</v>
      </c>
      <c r="B1003" s="1" t="s">
        <v>53</v>
      </c>
    </row>
    <row r="1004">
      <c r="A1004" s="2">
        <v>46265.59542199074</v>
      </c>
      <c r="B1004" s="1" t="s">
        <v>911</v>
      </c>
    </row>
    <row r="1005">
      <c r="A1005" s="2">
        <v>46265.595458344906</v>
      </c>
      <c r="B1005" s="1" t="s">
        <v>37</v>
      </c>
    </row>
    <row r="1006">
      <c r="A1006" s="2">
        <v>46265.59546896991</v>
      </c>
      <c r="B1006" s="1" t="s">
        <v>53</v>
      </c>
    </row>
    <row r="1007">
      <c r="A1007" s="2">
        <v>46265.59647097222</v>
      </c>
      <c r="B1007" s="1" t="s">
        <v>912</v>
      </c>
    </row>
    <row r="1008">
      <c r="A1008" s="2">
        <v>46265.59649239584</v>
      </c>
      <c r="B1008" s="1" t="s">
        <v>37</v>
      </c>
    </row>
    <row r="1009">
      <c r="A1009" s="2">
        <v>46265.59651549769</v>
      </c>
      <c r="B1009" s="1" t="s">
        <v>53</v>
      </c>
    </row>
    <row r="1010">
      <c r="A1010" s="2">
        <v>46265.597534976856</v>
      </c>
      <c r="B1010" s="1" t="s">
        <v>914</v>
      </c>
    </row>
    <row r="1011">
      <c r="A1011" s="2">
        <v>46265.59755327547</v>
      </c>
      <c r="B1011" s="1" t="s">
        <v>37</v>
      </c>
    </row>
    <row r="1012">
      <c r="A1012" s="2">
        <v>46265.59756034722</v>
      </c>
      <c r="B1012" s="1" t="s">
        <v>53</v>
      </c>
    </row>
    <row r="1013">
      <c r="A1013" s="2">
        <v>46265.6619221875</v>
      </c>
      <c r="B1013" s="1" t="s">
        <v>914</v>
      </c>
    </row>
    <row r="1014">
      <c r="A1014" s="2">
        <v>46265.6619468287</v>
      </c>
      <c r="B1014" s="1" t="s">
        <v>151</v>
      </c>
    </row>
    <row r="1015">
      <c r="A1015" s="2">
        <v>46265.66195771991</v>
      </c>
      <c r="B1015" s="1" t="s">
        <v>153</v>
      </c>
    </row>
    <row r="1016">
      <c r="A1016" s="2">
        <v>46265.66209298611</v>
      </c>
      <c r="B1016" s="1" t="s">
        <v>911</v>
      </c>
    </row>
    <row r="1017">
      <c r="A1017" s="2">
        <v>46265.66212168982</v>
      </c>
      <c r="B1017" s="1" t="s">
        <v>151</v>
      </c>
    </row>
    <row r="1018">
      <c r="A1018" s="2">
        <v>46265.662129398144</v>
      </c>
      <c r="B1018" s="1" t="s">
        <v>153</v>
      </c>
    </row>
    <row r="1019">
      <c r="A1019" s="2">
        <v>46265.66265511574</v>
      </c>
      <c r="B1019" s="1" t="s">
        <v>907</v>
      </c>
    </row>
    <row r="1020">
      <c r="A1020" s="2">
        <v>46265.66267358796</v>
      </c>
      <c r="B1020" s="1" t="s">
        <v>151</v>
      </c>
    </row>
    <row r="1021">
      <c r="A1021" s="2">
        <v>46265.66268267361</v>
      </c>
      <c r="B1021" s="1" t="s">
        <v>153</v>
      </c>
    </row>
    <row r="1022">
      <c r="A1022" s="2">
        <v>46265.66281100694</v>
      </c>
      <c r="B1022" s="1" t="s">
        <v>912</v>
      </c>
    </row>
    <row r="1023">
      <c r="A1023" s="2">
        <v>46265.662827939814</v>
      </c>
      <c r="B1023" s="1" t="s">
        <v>151</v>
      </c>
    </row>
    <row r="1024">
      <c r="A1024" s="2">
        <v>46265.66284203704</v>
      </c>
      <c r="B1024" s="1" t="s">
        <v>153</v>
      </c>
    </row>
    <row r="1025">
      <c r="A1025" s="2">
        <v>46265.66317186343</v>
      </c>
      <c r="B1025" s="1" t="s">
        <v>902</v>
      </c>
    </row>
    <row r="1026">
      <c r="A1026" s="2">
        <v>46265.66321925926</v>
      </c>
      <c r="B1026" s="1" t="s">
        <v>283</v>
      </c>
    </row>
    <row r="1027">
      <c r="A1027" s="2">
        <v>46265.663235925924</v>
      </c>
      <c r="B1027" s="1" t="s">
        <v>284</v>
      </c>
    </row>
    <row r="1028">
      <c r="A1028" s="2">
        <v>46265.663622974535</v>
      </c>
      <c r="B1028" s="1" t="s">
        <v>920</v>
      </c>
    </row>
    <row r="1029">
      <c r="A1029" s="2">
        <v>46265.66364961806</v>
      </c>
      <c r="B1029" s="1" t="s">
        <v>37</v>
      </c>
    </row>
    <row r="1030">
      <c r="A1030" s="2">
        <v>46265.66366827546</v>
      </c>
      <c r="B1030" s="1" t="s">
        <v>53</v>
      </c>
    </row>
    <row r="1031">
      <c r="A1031" s="2">
        <v>46265.6656074537</v>
      </c>
      <c r="B1031" s="1" t="s">
        <v>923</v>
      </c>
    </row>
    <row r="1032">
      <c r="A1032" s="2">
        <v>46265.66563986111</v>
      </c>
      <c r="B1032" s="1" t="s">
        <v>37</v>
      </c>
    </row>
    <row r="1033">
      <c r="A1033" s="2">
        <v>46265.665653310185</v>
      </c>
      <c r="B1033" s="1" t="s">
        <v>53</v>
      </c>
    </row>
    <row r="1034">
      <c r="A1034" s="2">
        <v>46265.6656950926</v>
      </c>
      <c r="B1034" s="1" t="s">
        <v>920</v>
      </c>
    </row>
    <row r="1035">
      <c r="A1035" s="2">
        <v>46265.66574128473</v>
      </c>
      <c r="B1035" s="1" t="s">
        <v>283</v>
      </c>
    </row>
    <row r="1036">
      <c r="A1036" s="2">
        <v>46265.66576173611</v>
      </c>
      <c r="B1036" s="1" t="s">
        <v>284</v>
      </c>
    </row>
    <row r="1037">
      <c r="A1037" s="2">
        <v>46266.402581793984</v>
      </c>
      <c r="B1037" s="1" t="s">
        <v>926</v>
      </c>
    </row>
    <row r="1038">
      <c r="A1038" s="2">
        <v>46266.40262097222</v>
      </c>
      <c r="B1038" s="1" t="s">
        <v>37</v>
      </c>
    </row>
    <row r="1039">
      <c r="A1039" s="2">
        <v>46266.402628449076</v>
      </c>
      <c r="B1039" s="1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1</v>
      </c>
      <c r="B1" s="1" t="s">
        <v>209</v>
      </c>
      <c r="C1" s="1" t="s">
        <v>210</v>
      </c>
      <c r="D1" s="1" t="s">
        <v>211</v>
      </c>
      <c r="E1" s="1" t="s">
        <v>2</v>
      </c>
    </row>
    <row r="2">
      <c r="A2" s="1" t="s">
        <v>212</v>
      </c>
      <c r="B2" s="1" t="s">
        <v>213</v>
      </c>
      <c r="C2" s="1" t="s">
        <v>214</v>
      </c>
      <c r="D2" s="1" t="s">
        <v>215</v>
      </c>
      <c r="E2" s="1" t="s">
        <v>216</v>
      </c>
    </row>
    <row r="3">
      <c r="A3" s="1" t="s">
        <v>217</v>
      </c>
      <c r="B3" s="1" t="s">
        <v>218</v>
      </c>
      <c r="C3" s="1" t="s">
        <v>62</v>
      </c>
      <c r="D3" s="1" t="s">
        <v>215</v>
      </c>
      <c r="E3" s="1" t="s">
        <v>219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230</v>
      </c>
      <c r="B1" s="1" t="s">
        <v>231</v>
      </c>
      <c r="C1" s="1" t="s">
        <v>232</v>
      </c>
    </row>
    <row r="2">
      <c r="A2" s="1" t="s">
        <v>233</v>
      </c>
      <c r="B2" s="4">
        <v>0.0</v>
      </c>
    </row>
    <row r="3">
      <c r="A3" s="1" t="s">
        <v>234</v>
      </c>
      <c r="B3" s="1" t="s">
        <v>235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1" t="s">
        <v>200</v>
      </c>
    </row>
    <row r="3">
      <c r="A3" s="1" t="s">
        <v>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6.88"/>
    <col customWidth="1" min="5" max="5" width="14.25"/>
    <col customWidth="1" min="6" max="6" width="11.0"/>
    <col customWidth="1" min="7" max="7" width="70.13"/>
    <col customWidth="1" min="8" max="8" width="17.5"/>
    <col customWidth="1" min="11" max="11" width="9.5"/>
  </cols>
  <sheetData>
    <row r="1">
      <c r="A1" s="1" t="s">
        <v>1</v>
      </c>
      <c r="B1" s="1" t="s">
        <v>8</v>
      </c>
      <c r="C1" s="1" t="s">
        <v>11</v>
      </c>
      <c r="D1" s="1" t="s">
        <v>15</v>
      </c>
      <c r="E1" s="1" t="s">
        <v>18</v>
      </c>
      <c r="F1" s="1" t="s">
        <v>242</v>
      </c>
      <c r="G1" s="1" t="s">
        <v>29</v>
      </c>
      <c r="H1" s="1" t="s">
        <v>25</v>
      </c>
      <c r="I1" s="1" t="s">
        <v>23</v>
      </c>
      <c r="J1" s="1" t="s">
        <v>26</v>
      </c>
      <c r="K1" s="1" t="s">
        <v>243</v>
      </c>
    </row>
    <row r="2">
      <c r="A2" s="1" t="s">
        <v>56</v>
      </c>
      <c r="B2" s="1" t="s">
        <v>58</v>
      </c>
      <c r="C2" s="1" t="s">
        <v>38</v>
      </c>
      <c r="D2" s="1" t="s">
        <v>39</v>
      </c>
      <c r="E2" s="4">
        <v>850.0</v>
      </c>
      <c r="F2" s="1">
        <v>300.0</v>
      </c>
      <c r="G2" s="9" t="s">
        <v>114</v>
      </c>
      <c r="H2" s="4">
        <v>10.0</v>
      </c>
      <c r="I2" s="1">
        <v>2750.0</v>
      </c>
      <c r="J2" s="4">
        <v>5000.0</v>
      </c>
      <c r="K2" s="6">
        <v>46073.0</v>
      </c>
    </row>
    <row r="3">
      <c r="A3" s="1" t="s">
        <v>262</v>
      </c>
      <c r="B3" s="1" t="s">
        <v>263</v>
      </c>
      <c r="C3" s="1" t="s">
        <v>38</v>
      </c>
      <c r="D3" s="1" t="s">
        <v>39</v>
      </c>
      <c r="E3" s="4">
        <v>474.0</v>
      </c>
      <c r="F3" s="4">
        <v>0.0</v>
      </c>
      <c r="G3" s="9" t="s">
        <v>264</v>
      </c>
      <c r="H3" s="4">
        <v>0.0</v>
      </c>
      <c r="I3" s="4">
        <v>474.0</v>
      </c>
      <c r="J3" s="1">
        <v>7000.0</v>
      </c>
      <c r="K3" s="6">
        <v>46073.0</v>
      </c>
    </row>
    <row r="4">
      <c r="A4" s="1" t="s">
        <v>266</v>
      </c>
      <c r="B4" s="1" t="s">
        <v>267</v>
      </c>
      <c r="C4" s="1" t="s">
        <v>38</v>
      </c>
      <c r="D4" s="1" t="s">
        <v>39</v>
      </c>
      <c r="E4" s="4">
        <v>1637.0</v>
      </c>
      <c r="F4" s="1">
        <v>255.0</v>
      </c>
      <c r="G4" s="9" t="s">
        <v>268</v>
      </c>
      <c r="H4" s="4">
        <v>0.0</v>
      </c>
      <c r="I4" s="4">
        <v>1637.0</v>
      </c>
      <c r="J4" s="4">
        <v>40000.0</v>
      </c>
      <c r="K4" s="6">
        <v>46073.0</v>
      </c>
    </row>
    <row r="5">
      <c r="A5" s="1" t="s">
        <v>272</v>
      </c>
      <c r="B5" s="1" t="s">
        <v>273</v>
      </c>
      <c r="C5" s="1" t="s">
        <v>38</v>
      </c>
      <c r="D5" s="1" t="s">
        <v>39</v>
      </c>
      <c r="E5" s="1">
        <v>175.0</v>
      </c>
      <c r="F5" s="4">
        <v>0.0</v>
      </c>
      <c r="G5" s="9" t="s">
        <v>274</v>
      </c>
      <c r="H5" s="4">
        <v>0.0</v>
      </c>
      <c r="I5" s="1">
        <v>775.0</v>
      </c>
      <c r="J5" s="4">
        <v>73000.0</v>
      </c>
      <c r="K5" s="6">
        <v>46073.0</v>
      </c>
    </row>
    <row r="6">
      <c r="A6" s="1" t="s">
        <v>212</v>
      </c>
      <c r="B6" s="1" t="s">
        <v>285</v>
      </c>
      <c r="C6" s="1" t="s">
        <v>38</v>
      </c>
      <c r="D6" s="1" t="s">
        <v>39</v>
      </c>
      <c r="E6" s="1">
        <v>0.0</v>
      </c>
      <c r="F6" s="4">
        <v>0.0</v>
      </c>
      <c r="G6" s="9" t="s">
        <v>286</v>
      </c>
      <c r="H6" s="4">
        <v>0.0</v>
      </c>
      <c r="I6" s="4">
        <v>0.0</v>
      </c>
      <c r="J6" s="4">
        <v>40000.0</v>
      </c>
      <c r="K6" s="6">
        <v>46073.0</v>
      </c>
    </row>
    <row r="7">
      <c r="A7" s="1" t="s">
        <v>81</v>
      </c>
      <c r="B7" s="1" t="s">
        <v>83</v>
      </c>
      <c r="C7" s="1" t="s">
        <v>38</v>
      </c>
      <c r="D7" s="1" t="s">
        <v>39</v>
      </c>
      <c r="E7" s="1">
        <v>0.0</v>
      </c>
      <c r="F7" s="4">
        <v>0.0</v>
      </c>
      <c r="G7" s="9" t="s">
        <v>179</v>
      </c>
      <c r="H7" s="4">
        <v>10.0</v>
      </c>
      <c r="I7" s="4">
        <v>400.0</v>
      </c>
      <c r="J7" s="1">
        <v>84000.0</v>
      </c>
      <c r="K7" s="6">
        <v>46073.0</v>
      </c>
    </row>
    <row r="8">
      <c r="A8" s="1" t="s">
        <v>291</v>
      </c>
      <c r="B8" s="1" t="s">
        <v>292</v>
      </c>
      <c r="C8" s="1" t="s">
        <v>38</v>
      </c>
      <c r="D8" s="1" t="s">
        <v>39</v>
      </c>
      <c r="E8" s="4">
        <v>392.0</v>
      </c>
      <c r="F8" s="4">
        <v>34.0</v>
      </c>
      <c r="G8" s="9" t="s">
        <v>299</v>
      </c>
      <c r="H8" s="4">
        <v>0.0</v>
      </c>
      <c r="I8" s="4">
        <v>392.0</v>
      </c>
      <c r="J8" s="4">
        <v>59000.0</v>
      </c>
      <c r="K8" s="6">
        <v>46073.0</v>
      </c>
    </row>
    <row r="9">
      <c r="A9" s="1" t="s">
        <v>304</v>
      </c>
      <c r="B9" s="1" t="s">
        <v>305</v>
      </c>
      <c r="C9" s="1" t="s">
        <v>38</v>
      </c>
      <c r="D9" s="1" t="s">
        <v>39</v>
      </c>
      <c r="E9" s="1">
        <v>0.0</v>
      </c>
      <c r="F9" s="4">
        <v>0.0</v>
      </c>
      <c r="G9" s="9" t="s">
        <v>306</v>
      </c>
      <c r="H9" s="4">
        <v>0.0</v>
      </c>
      <c r="I9" s="4">
        <v>0.0</v>
      </c>
      <c r="J9" s="4">
        <v>53000.0</v>
      </c>
      <c r="K9" s="6">
        <v>46073.0</v>
      </c>
    </row>
    <row r="10">
      <c r="A10" s="1" t="s">
        <v>33</v>
      </c>
      <c r="B10" s="1" t="s">
        <v>34</v>
      </c>
      <c r="C10" s="1" t="s">
        <v>38</v>
      </c>
      <c r="D10" s="1" t="s">
        <v>39</v>
      </c>
      <c r="E10" s="4">
        <v>1.0</v>
      </c>
      <c r="F10" s="4">
        <v>100.0</v>
      </c>
      <c r="G10" s="9" t="s">
        <v>48</v>
      </c>
      <c r="H10" s="4">
        <v>1.0</v>
      </c>
      <c r="I10" s="4">
        <v>201.0</v>
      </c>
      <c r="J10" s="4">
        <v>445000.0</v>
      </c>
      <c r="K10" s="6">
        <v>46073.0</v>
      </c>
    </row>
    <row r="11">
      <c r="A11" s="1" t="s">
        <v>217</v>
      </c>
      <c r="B11" s="1" t="s">
        <v>315</v>
      </c>
      <c r="C11" s="1" t="s">
        <v>38</v>
      </c>
      <c r="D11" s="1" t="s">
        <v>39</v>
      </c>
      <c r="E11" s="4">
        <v>98.0</v>
      </c>
      <c r="F11" s="1">
        <v>1.0</v>
      </c>
      <c r="G11" s="9" t="s">
        <v>316</v>
      </c>
      <c r="H11" s="4">
        <v>1.0</v>
      </c>
      <c r="I11" s="4">
        <v>98.0</v>
      </c>
      <c r="J11" s="4">
        <v>180000.0</v>
      </c>
      <c r="K11" s="6">
        <v>46073.0</v>
      </c>
    </row>
    <row r="12">
      <c r="A12" s="1" t="s">
        <v>321</v>
      </c>
      <c r="B12" s="1" t="s">
        <v>322</v>
      </c>
      <c r="C12" s="1" t="s">
        <v>38</v>
      </c>
      <c r="D12" s="1" t="s">
        <v>323</v>
      </c>
      <c r="E12" s="4">
        <v>310.0</v>
      </c>
      <c r="F12" s="4">
        <v>140.0</v>
      </c>
      <c r="G12" s="9" t="s">
        <v>324</v>
      </c>
      <c r="H12" s="4">
        <v>0.0</v>
      </c>
      <c r="I12" s="4">
        <v>310.0</v>
      </c>
      <c r="J12" s="4">
        <v>330000.0</v>
      </c>
      <c r="K12" s="6">
        <v>46073.0</v>
      </c>
    </row>
    <row r="13">
      <c r="A13" s="1" t="s">
        <v>331</v>
      </c>
      <c r="B13" s="1" t="s">
        <v>332</v>
      </c>
      <c r="C13" s="1" t="s">
        <v>38</v>
      </c>
      <c r="D13" s="1" t="s">
        <v>323</v>
      </c>
      <c r="E13" s="1">
        <v>120.0</v>
      </c>
      <c r="F13" s="4">
        <v>6.0</v>
      </c>
      <c r="G13" s="9" t="s">
        <v>333</v>
      </c>
      <c r="H13" s="4">
        <v>0.0</v>
      </c>
      <c r="I13" s="1">
        <v>120.0</v>
      </c>
      <c r="J13" s="4">
        <v>251600.0</v>
      </c>
      <c r="K13" s="6">
        <v>46073.0</v>
      </c>
    </row>
    <row r="14">
      <c r="A14" s="1" t="s">
        <v>339</v>
      </c>
      <c r="B14" s="1" t="s">
        <v>340</v>
      </c>
      <c r="C14" s="1" t="s">
        <v>200</v>
      </c>
      <c r="D14" s="1" t="s">
        <v>156</v>
      </c>
      <c r="E14" s="4">
        <v>3.0</v>
      </c>
      <c r="F14" s="4">
        <v>2.0</v>
      </c>
      <c r="G14" s="9" t="s">
        <v>341</v>
      </c>
      <c r="H14" s="4">
        <v>1.0</v>
      </c>
      <c r="I14" s="4">
        <v>3.0</v>
      </c>
      <c r="J14" s="4">
        <v>0.0</v>
      </c>
      <c r="K14" s="6">
        <v>46073.0</v>
      </c>
    </row>
    <row r="15">
      <c r="A15" s="1" t="s">
        <v>347</v>
      </c>
      <c r="B15" s="1" t="s">
        <v>348</v>
      </c>
      <c r="C15" s="1" t="s">
        <v>200</v>
      </c>
      <c r="D15" s="1" t="s">
        <v>156</v>
      </c>
      <c r="E15" s="4">
        <v>8.0</v>
      </c>
      <c r="F15" s="4">
        <v>8.0</v>
      </c>
      <c r="G15" s="9" t="s">
        <v>349</v>
      </c>
      <c r="H15" s="4">
        <v>2.0</v>
      </c>
      <c r="I15" s="4">
        <v>8.0</v>
      </c>
      <c r="J15" s="4">
        <v>0.0</v>
      </c>
      <c r="K15" s="6">
        <v>46073.0</v>
      </c>
    </row>
    <row r="16">
      <c r="A16" s="1" t="s">
        <v>353</v>
      </c>
      <c r="B16" s="1" t="s">
        <v>354</v>
      </c>
      <c r="C16" s="1" t="s">
        <v>200</v>
      </c>
      <c r="D16" s="1" t="s">
        <v>201</v>
      </c>
      <c r="E16" s="4">
        <v>10.0</v>
      </c>
      <c r="F16" s="4">
        <v>10.0</v>
      </c>
      <c r="G16" s="9" t="s">
        <v>356</v>
      </c>
      <c r="H16" s="4">
        <v>2.0</v>
      </c>
      <c r="I16" s="4">
        <v>10.0</v>
      </c>
      <c r="J16" s="4">
        <v>145000.0</v>
      </c>
      <c r="K16" s="6">
        <v>46073.0</v>
      </c>
    </row>
    <row r="17">
      <c r="A17" s="1" t="s">
        <v>360</v>
      </c>
      <c r="B17" s="1" t="s">
        <v>362</v>
      </c>
      <c r="C17" s="1" t="s">
        <v>200</v>
      </c>
      <c r="D17" s="1" t="s">
        <v>201</v>
      </c>
      <c r="E17" s="4">
        <v>2.0</v>
      </c>
      <c r="F17" s="4">
        <v>0.0</v>
      </c>
      <c r="G17" s="9" t="s">
        <v>363</v>
      </c>
      <c r="H17" s="4">
        <v>1.0</v>
      </c>
      <c r="I17" s="4">
        <v>2.0</v>
      </c>
      <c r="J17" s="4">
        <v>0.0</v>
      </c>
      <c r="K17" s="6">
        <v>46073.0</v>
      </c>
    </row>
    <row r="18">
      <c r="A18" s="1" t="s">
        <v>367</v>
      </c>
      <c r="B18" s="1" t="s">
        <v>369</v>
      </c>
      <c r="C18" s="1" t="s">
        <v>200</v>
      </c>
      <c r="D18" s="1" t="s">
        <v>156</v>
      </c>
      <c r="E18" s="4">
        <v>2.0</v>
      </c>
      <c r="F18" s="4">
        <v>2.0</v>
      </c>
      <c r="G18" s="9" t="s">
        <v>370</v>
      </c>
      <c r="H18" s="4">
        <v>1.0</v>
      </c>
      <c r="I18" s="4">
        <v>2.0</v>
      </c>
      <c r="J18" s="4">
        <v>0.0</v>
      </c>
      <c r="K18" s="6">
        <v>46073.0</v>
      </c>
    </row>
    <row r="19">
      <c r="A19" s="1" t="s">
        <v>376</v>
      </c>
      <c r="B19" s="1" t="s">
        <v>377</v>
      </c>
      <c r="C19" s="1" t="s">
        <v>200</v>
      </c>
      <c r="D19" s="1" t="s">
        <v>201</v>
      </c>
      <c r="E19" s="4">
        <v>2.0</v>
      </c>
      <c r="F19" s="4">
        <v>2.0</v>
      </c>
      <c r="G19" s="9" t="s">
        <v>378</v>
      </c>
      <c r="H19" s="4">
        <v>1.0</v>
      </c>
      <c r="I19" s="4">
        <v>2.0</v>
      </c>
      <c r="J19" s="4">
        <v>0.0</v>
      </c>
      <c r="K19" s="6">
        <v>46073.0</v>
      </c>
    </row>
    <row r="20">
      <c r="A20" s="1" t="s">
        <v>383</v>
      </c>
      <c r="B20" s="1" t="s">
        <v>384</v>
      </c>
      <c r="C20" s="1" t="s">
        <v>200</v>
      </c>
      <c r="D20" s="1" t="s">
        <v>156</v>
      </c>
      <c r="E20" s="4">
        <v>1.0</v>
      </c>
      <c r="F20" s="4">
        <v>1.0</v>
      </c>
      <c r="G20" s="9" t="s">
        <v>385</v>
      </c>
      <c r="H20" s="4">
        <v>1.0</v>
      </c>
      <c r="I20" s="4">
        <v>1.0</v>
      </c>
      <c r="J20" s="4">
        <v>0.0</v>
      </c>
      <c r="K20" s="6">
        <v>46073.0</v>
      </c>
    </row>
    <row r="21">
      <c r="A21" s="1" t="s">
        <v>325</v>
      </c>
      <c r="B21" s="1" t="s">
        <v>326</v>
      </c>
      <c r="C21" s="1" t="s">
        <v>200</v>
      </c>
      <c r="D21" s="1" t="s">
        <v>201</v>
      </c>
      <c r="E21" s="4">
        <v>5000.0</v>
      </c>
      <c r="F21" s="4">
        <v>300.0</v>
      </c>
      <c r="G21" s="9" t="s">
        <v>389</v>
      </c>
      <c r="H21" s="4">
        <v>0.0</v>
      </c>
      <c r="I21" s="4">
        <v>5000.0</v>
      </c>
      <c r="J21" s="4">
        <v>1200.0</v>
      </c>
      <c r="K21" s="6">
        <v>46073.0</v>
      </c>
    </row>
    <row r="22">
      <c r="A22" s="1" t="s">
        <v>398</v>
      </c>
      <c r="B22" s="1" t="s">
        <v>399</v>
      </c>
      <c r="C22" s="1" t="s">
        <v>200</v>
      </c>
      <c r="D22" s="1" t="s">
        <v>156</v>
      </c>
      <c r="E22" s="4">
        <v>1.0</v>
      </c>
      <c r="F22" s="4">
        <v>2.0</v>
      </c>
      <c r="G22" s="9" t="s">
        <v>400</v>
      </c>
      <c r="H22" s="4">
        <v>1.0</v>
      </c>
      <c r="I22" s="4">
        <v>3.0</v>
      </c>
      <c r="J22" s="4">
        <v>0.0</v>
      </c>
      <c r="K22" s="6">
        <v>46073.0</v>
      </c>
    </row>
    <row r="23">
      <c r="A23" s="1" t="s">
        <v>405</v>
      </c>
      <c r="B23" s="1" t="s">
        <v>406</v>
      </c>
      <c r="C23" s="1" t="s">
        <v>38</v>
      </c>
      <c r="D23" s="1" t="s">
        <v>201</v>
      </c>
      <c r="E23" s="4">
        <v>500.0</v>
      </c>
      <c r="F23" s="4">
        <v>133.0</v>
      </c>
      <c r="G23" s="12" t="s">
        <v>407</v>
      </c>
      <c r="H23" s="4">
        <v>20.0</v>
      </c>
      <c r="I23" s="4">
        <v>500.0</v>
      </c>
      <c r="J23" s="4">
        <v>105000.0</v>
      </c>
      <c r="K23" s="6">
        <v>46119.0</v>
      </c>
      <c r="L23" s="13"/>
    </row>
    <row r="24">
      <c r="A24" s="1" t="s">
        <v>412</v>
      </c>
      <c r="B24" s="1" t="s">
        <v>413</v>
      </c>
      <c r="C24" s="1" t="s">
        <v>38</v>
      </c>
      <c r="D24" s="1" t="s">
        <v>418</v>
      </c>
      <c r="E24" s="4">
        <v>400.0</v>
      </c>
      <c r="F24" s="4">
        <v>85.0</v>
      </c>
      <c r="G24" s="9" t="s">
        <v>419</v>
      </c>
      <c r="H24" s="4">
        <v>10.0</v>
      </c>
      <c r="I24" s="4">
        <v>400.0</v>
      </c>
      <c r="J24" s="4">
        <v>16500.0</v>
      </c>
      <c r="K24" s="6">
        <v>46112.0</v>
      </c>
      <c r="L24" s="13"/>
    </row>
    <row r="25">
      <c r="A25" s="1" t="s">
        <v>395</v>
      </c>
      <c r="B25" s="1" t="s">
        <v>425</v>
      </c>
      <c r="C25" s="1" t="s">
        <v>38</v>
      </c>
      <c r="D25" s="1" t="s">
        <v>418</v>
      </c>
      <c r="E25" s="4">
        <v>2000.0</v>
      </c>
      <c r="F25" s="1">
        <v>250.0</v>
      </c>
      <c r="G25" s="9" t="s">
        <v>426</v>
      </c>
      <c r="H25" s="4">
        <v>20.0</v>
      </c>
      <c r="I25" s="4">
        <v>2000.0</v>
      </c>
      <c r="J25" s="4">
        <v>14000.0</v>
      </c>
      <c r="K25" s="6">
        <v>46112.0</v>
      </c>
      <c r="L25" s="13"/>
    </row>
    <row r="26">
      <c r="A26" s="1" t="s">
        <v>428</v>
      </c>
      <c r="B26" s="1" t="s">
        <v>429</v>
      </c>
      <c r="C26" s="1" t="s">
        <v>38</v>
      </c>
      <c r="D26" s="1" t="s">
        <v>156</v>
      </c>
      <c r="E26" s="4">
        <v>600.0</v>
      </c>
      <c r="F26" s="1">
        <v>210.0</v>
      </c>
      <c r="G26" s="9" t="s">
        <v>434</v>
      </c>
      <c r="H26" s="4">
        <v>10.0</v>
      </c>
      <c r="I26" s="4">
        <v>600.0</v>
      </c>
      <c r="J26" s="4">
        <v>95000.0</v>
      </c>
      <c r="K26" s="6">
        <v>46118.0</v>
      </c>
      <c r="L26" s="13"/>
    </row>
    <row r="27">
      <c r="A27" s="1" t="s">
        <v>441</v>
      </c>
      <c r="B27" s="1" t="s">
        <v>442</v>
      </c>
      <c r="C27" s="1" t="s">
        <v>38</v>
      </c>
      <c r="D27" s="1" t="s">
        <v>201</v>
      </c>
      <c r="E27" s="4">
        <v>690.0</v>
      </c>
      <c r="F27" s="4">
        <v>20.0</v>
      </c>
      <c r="G27" s="9" t="s">
        <v>443</v>
      </c>
      <c r="H27" s="4">
        <v>50.0</v>
      </c>
      <c r="I27" s="4">
        <v>690.0</v>
      </c>
      <c r="J27" s="4">
        <v>52000.0</v>
      </c>
      <c r="K27" s="6">
        <v>46121.0</v>
      </c>
      <c r="L27" s="13"/>
    </row>
    <row r="28">
      <c r="A28" s="1" t="s">
        <v>448</v>
      </c>
      <c r="B28" s="1" t="s">
        <v>450</v>
      </c>
      <c r="C28" s="1" t="s">
        <v>38</v>
      </c>
      <c r="D28" s="1" t="s">
        <v>201</v>
      </c>
      <c r="E28" s="4">
        <v>770.0</v>
      </c>
      <c r="F28" s="4">
        <v>0.0</v>
      </c>
      <c r="G28" s="9" t="s">
        <v>452</v>
      </c>
      <c r="H28" s="4">
        <v>5.0</v>
      </c>
      <c r="I28" s="4">
        <v>770.0</v>
      </c>
      <c r="J28" s="4">
        <v>54000.0</v>
      </c>
      <c r="K28" s="6">
        <v>46114.0</v>
      </c>
      <c r="L28" s="13"/>
    </row>
    <row r="29">
      <c r="A29" s="1" t="s">
        <v>456</v>
      </c>
      <c r="B29" s="1" t="s">
        <v>457</v>
      </c>
      <c r="C29" s="1" t="s">
        <v>200</v>
      </c>
      <c r="D29" s="1" t="s">
        <v>156</v>
      </c>
      <c r="E29" s="4">
        <v>2.0</v>
      </c>
      <c r="F29" s="4">
        <v>0.0</v>
      </c>
      <c r="G29" s="9" t="s">
        <v>460</v>
      </c>
      <c r="H29" s="4">
        <v>1.0</v>
      </c>
      <c r="I29" s="4">
        <v>2.0</v>
      </c>
      <c r="J29" s="4">
        <v>0.0</v>
      </c>
      <c r="K29" s="6">
        <v>46136.0</v>
      </c>
      <c r="L29" s="13"/>
    </row>
    <row r="30">
      <c r="A30" s="1" t="s">
        <v>466</v>
      </c>
      <c r="B30" s="1" t="s">
        <v>467</v>
      </c>
      <c r="C30" s="1" t="s">
        <v>200</v>
      </c>
      <c r="D30" s="1" t="s">
        <v>156</v>
      </c>
      <c r="E30" s="4">
        <v>2.0</v>
      </c>
      <c r="F30" s="4">
        <v>2.0</v>
      </c>
      <c r="G30" s="9" t="s">
        <v>469</v>
      </c>
      <c r="H30" s="4">
        <v>0.0</v>
      </c>
      <c r="I30" s="4">
        <v>2.0</v>
      </c>
      <c r="J30" s="4">
        <v>2600000.0</v>
      </c>
      <c r="K30" s="6">
        <v>46153.0</v>
      </c>
      <c r="L30" s="13"/>
    </row>
    <row r="31">
      <c r="A31" s="1" t="s">
        <v>163</v>
      </c>
      <c r="B31" s="1" t="s">
        <v>164</v>
      </c>
      <c r="C31" s="1" t="s">
        <v>200</v>
      </c>
      <c r="D31" s="1" t="s">
        <v>201</v>
      </c>
      <c r="E31" s="4">
        <v>5000.0</v>
      </c>
      <c r="F31" s="1">
        <v>4295.0</v>
      </c>
      <c r="G31" s="9" t="s">
        <v>203</v>
      </c>
      <c r="H31" s="4">
        <v>100.0</v>
      </c>
      <c r="I31" s="4">
        <v>5000.0</v>
      </c>
      <c r="J31" s="4">
        <v>12000.0</v>
      </c>
      <c r="K31" s="6">
        <v>46157.0</v>
      </c>
      <c r="L31" s="13"/>
    </row>
    <row r="32">
      <c r="A32" s="1" t="s">
        <v>92</v>
      </c>
      <c r="B32" s="1" t="s">
        <v>94</v>
      </c>
      <c r="C32" s="1" t="s">
        <v>38</v>
      </c>
      <c r="D32" s="1" t="s">
        <v>190</v>
      </c>
      <c r="E32" s="4">
        <v>300.0</v>
      </c>
      <c r="F32" s="4">
        <v>0.0</v>
      </c>
      <c r="G32" s="9" t="s">
        <v>191</v>
      </c>
      <c r="H32" s="4">
        <v>30.0</v>
      </c>
      <c r="I32" s="4">
        <v>300.0</v>
      </c>
      <c r="J32" s="4">
        <v>73000.0</v>
      </c>
      <c r="K32" s="6">
        <v>46182.0</v>
      </c>
      <c r="L32" s="13"/>
    </row>
    <row r="33">
      <c r="A33" s="1" t="s">
        <v>484</v>
      </c>
      <c r="B33" s="1" t="s">
        <v>485</v>
      </c>
      <c r="C33" s="1" t="s">
        <v>200</v>
      </c>
      <c r="D33" s="1" t="s">
        <v>156</v>
      </c>
      <c r="E33" s="4">
        <v>1.0</v>
      </c>
      <c r="F33" s="4">
        <v>0.0</v>
      </c>
      <c r="G33" s="9" t="s">
        <v>487</v>
      </c>
      <c r="H33" s="4">
        <v>1.0</v>
      </c>
      <c r="I33" s="4">
        <v>1.0</v>
      </c>
      <c r="J33" s="4">
        <v>2600000.0</v>
      </c>
      <c r="K33" s="6">
        <v>46189.0</v>
      </c>
      <c r="L33" s="13"/>
    </row>
    <row r="34">
      <c r="A34" s="1" t="s">
        <v>494</v>
      </c>
      <c r="B34" s="1" t="s">
        <v>495</v>
      </c>
      <c r="C34" s="1" t="s">
        <v>38</v>
      </c>
      <c r="D34" s="1" t="s">
        <v>496</v>
      </c>
      <c r="E34" s="4">
        <v>100.0</v>
      </c>
      <c r="F34" s="4">
        <v>0.0</v>
      </c>
      <c r="G34" s="9" t="s">
        <v>499</v>
      </c>
      <c r="H34" s="4">
        <v>1.0</v>
      </c>
      <c r="I34" s="4">
        <v>100.0</v>
      </c>
      <c r="J34" s="4">
        <v>75000.0</v>
      </c>
      <c r="K34" s="6">
        <v>46190.0</v>
      </c>
    </row>
    <row r="35">
      <c r="A35" s="1" t="s">
        <v>70</v>
      </c>
      <c r="B35" s="1" t="s">
        <v>511</v>
      </c>
      <c r="C35" s="1" t="s">
        <v>38</v>
      </c>
      <c r="D35" s="1" t="s">
        <v>156</v>
      </c>
      <c r="E35" s="4">
        <v>500.0</v>
      </c>
      <c r="F35" s="4">
        <v>0.0</v>
      </c>
      <c r="G35" s="9" t="s">
        <v>161</v>
      </c>
      <c r="H35" s="4">
        <v>20.0</v>
      </c>
      <c r="I35" s="4">
        <v>500.0</v>
      </c>
      <c r="J35" s="4">
        <v>55000.0</v>
      </c>
      <c r="K35" s="6">
        <v>46190.0</v>
      </c>
    </row>
    <row r="36">
      <c r="A36" s="1" t="s">
        <v>518</v>
      </c>
      <c r="B36" s="1" t="s">
        <v>519</v>
      </c>
      <c r="C36" s="1" t="s">
        <v>200</v>
      </c>
      <c r="D36" s="1" t="s">
        <v>201</v>
      </c>
      <c r="E36" s="4">
        <v>3000.0</v>
      </c>
      <c r="F36" s="4">
        <v>3000.0</v>
      </c>
      <c r="G36" s="9" t="s">
        <v>520</v>
      </c>
      <c r="H36" s="4">
        <v>50.0</v>
      </c>
      <c r="I36" s="4">
        <v>6000.0</v>
      </c>
      <c r="J36" s="4">
        <v>1800.0</v>
      </c>
      <c r="K36" s="6">
        <v>46227.0</v>
      </c>
    </row>
    <row r="37">
      <c r="A37" s="1" t="s">
        <v>186</v>
      </c>
      <c r="B37" s="1" t="s">
        <v>187</v>
      </c>
      <c r="C37" s="1" t="s">
        <v>38</v>
      </c>
      <c r="D37" s="1" t="s">
        <v>201</v>
      </c>
      <c r="E37" s="4">
        <v>5000.0</v>
      </c>
      <c r="F37" s="4">
        <v>4848.0</v>
      </c>
      <c r="G37" s="9" t="s">
        <v>205</v>
      </c>
      <c r="H37" s="4">
        <v>500.0</v>
      </c>
      <c r="I37" s="4">
        <v>10000.0</v>
      </c>
      <c r="J37" s="4">
        <v>7000.0</v>
      </c>
      <c r="K37" s="6">
        <v>46225.0</v>
      </c>
    </row>
    <row r="38">
      <c r="A38" s="1" t="s">
        <v>537</v>
      </c>
      <c r="B38" s="1" t="s">
        <v>539</v>
      </c>
      <c r="C38" s="1" t="s">
        <v>38</v>
      </c>
      <c r="D38" s="1" t="s">
        <v>201</v>
      </c>
      <c r="E38" s="4">
        <v>300.0</v>
      </c>
      <c r="F38" s="4">
        <v>290.0</v>
      </c>
      <c r="G38" s="9" t="s">
        <v>542</v>
      </c>
      <c r="H38" s="4">
        <v>10.0</v>
      </c>
      <c r="I38" s="4">
        <v>300.0</v>
      </c>
      <c r="J38" s="4">
        <v>45000.0</v>
      </c>
      <c r="K38" s="6">
        <v>46252.0</v>
      </c>
    </row>
    <row r="39">
      <c r="A39" s="1" t="s">
        <v>551</v>
      </c>
      <c r="B39" s="1" t="s">
        <v>552</v>
      </c>
      <c r="C39" s="1" t="s">
        <v>38</v>
      </c>
      <c r="D39" s="1" t="s">
        <v>156</v>
      </c>
      <c r="E39" s="4">
        <v>110.0</v>
      </c>
      <c r="F39" s="4">
        <v>0.0</v>
      </c>
      <c r="G39" s="9" t="s">
        <v>553</v>
      </c>
      <c r="H39" s="4">
        <v>1.0</v>
      </c>
      <c r="I39" s="4">
        <v>110.0</v>
      </c>
      <c r="J39" s="4">
        <v>280000.0</v>
      </c>
      <c r="K39" s="6">
        <v>46237.0</v>
      </c>
    </row>
    <row r="40">
      <c r="A40" s="1" t="s">
        <v>563</v>
      </c>
      <c r="B40" s="1" t="s">
        <v>564</v>
      </c>
      <c r="C40" s="1" t="s">
        <v>38</v>
      </c>
      <c r="D40" s="1" t="s">
        <v>565</v>
      </c>
      <c r="E40" s="4">
        <v>100.0</v>
      </c>
      <c r="F40" s="4">
        <v>100.0</v>
      </c>
      <c r="G40" s="9" t="s">
        <v>566</v>
      </c>
      <c r="H40" s="4">
        <v>20.0</v>
      </c>
      <c r="I40" s="4">
        <v>100.0</v>
      </c>
      <c r="J40" s="4">
        <v>260000.0</v>
      </c>
      <c r="K40" s="6">
        <v>46259.0</v>
      </c>
    </row>
    <row r="41">
      <c r="A41" s="1" t="s">
        <v>575</v>
      </c>
      <c r="B41" s="1" t="s">
        <v>576</v>
      </c>
      <c r="C41" s="1" t="s">
        <v>38</v>
      </c>
      <c r="D41" s="1" t="s">
        <v>418</v>
      </c>
      <c r="E41" s="4">
        <v>100.0</v>
      </c>
      <c r="F41" s="4">
        <v>100.0</v>
      </c>
      <c r="G41" s="9" t="s">
        <v>579</v>
      </c>
      <c r="H41" s="4">
        <v>20.0</v>
      </c>
      <c r="I41" s="4">
        <v>100.0</v>
      </c>
      <c r="J41" s="4">
        <v>59000.0</v>
      </c>
      <c r="K41" s="6">
        <v>46262.0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</hyperlinks>
  <drawing r:id="rId4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1.88"/>
    <col customWidth="1" min="3" max="3" width="19.0"/>
    <col customWidth="1" min="4" max="4" width="15.13"/>
    <col customWidth="1" min="5" max="5" width="9.75"/>
    <col customWidth="1" min="6" max="6" width="21.25"/>
    <col customWidth="1" min="7" max="7" width="66.88"/>
    <col customWidth="1" min="8" max="8" width="21.25"/>
    <col customWidth="1" min="9" max="9" width="17.25"/>
    <col customWidth="1" min="10" max="10" width="12.13"/>
    <col customWidth="1" min="11" max="11" width="15.88"/>
    <col customWidth="1" min="13" max="13" width="21.25"/>
    <col customWidth="1" min="14" max="14" width="21.13"/>
    <col customWidth="1" min="15" max="15" width="19.38"/>
    <col customWidth="1" min="16" max="16" width="29.5"/>
  </cols>
  <sheetData>
    <row r="1">
      <c r="A1" s="1" t="s">
        <v>245</v>
      </c>
      <c r="B1" s="1" t="s">
        <v>246</v>
      </c>
      <c r="C1" s="1" t="s">
        <v>210</v>
      </c>
      <c r="D1" s="1" t="s">
        <v>247</v>
      </c>
      <c r="E1" s="1" t="s">
        <v>12</v>
      </c>
      <c r="F1" s="1" t="s">
        <v>248</v>
      </c>
      <c r="G1" s="1" t="s">
        <v>209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19</v>
      </c>
      <c r="S1" s="1" t="s">
        <v>259</v>
      </c>
    </row>
    <row r="2">
      <c r="A2" s="1" t="s">
        <v>260</v>
      </c>
      <c r="B2" s="1" t="s">
        <v>261</v>
      </c>
      <c r="C2" s="1" t="s">
        <v>20</v>
      </c>
      <c r="D2" s="1" t="s">
        <v>40</v>
      </c>
      <c r="E2" s="1" t="str">
        <f t="array" ref="E2">_xlfn.XLOOKUP(C2,Users!B:B,Users!F:F)</f>
        <v>MKT</v>
      </c>
      <c r="F2" s="6">
        <v>46072.0</v>
      </c>
      <c r="G2" s="1" t="s">
        <v>275</v>
      </c>
      <c r="H2" s="1" t="s">
        <v>276</v>
      </c>
      <c r="I2" s="1" t="s">
        <v>277</v>
      </c>
      <c r="M2" s="1" t="s">
        <v>278</v>
      </c>
      <c r="N2" s="1" t="s">
        <v>89</v>
      </c>
      <c r="O2" s="1" t="s">
        <v>280</v>
      </c>
      <c r="P2" s="1"/>
      <c r="Q2" s="6">
        <v>46072.0</v>
      </c>
      <c r="R2" s="1" t="s">
        <v>281</v>
      </c>
      <c r="S2" s="6"/>
    </row>
    <row r="3">
      <c r="A3" s="1" t="s">
        <v>282</v>
      </c>
      <c r="B3" s="1" t="s">
        <v>261</v>
      </c>
      <c r="C3" s="1" t="s">
        <v>55</v>
      </c>
      <c r="D3" s="1" t="s">
        <v>57</v>
      </c>
      <c r="E3" s="1" t="str">
        <f t="array" ref="E3">_xlfn.XLOOKUP(C3,Users!B:B,Users!F:F)</f>
        <v>MKT</v>
      </c>
      <c r="F3" s="6">
        <v>46077.0</v>
      </c>
      <c r="G3" s="1" t="s">
        <v>287</v>
      </c>
      <c r="H3" s="1" t="s">
        <v>288</v>
      </c>
      <c r="M3" s="1" t="s">
        <v>289</v>
      </c>
      <c r="N3" s="1" t="s">
        <v>89</v>
      </c>
      <c r="O3" s="1" t="s">
        <v>280</v>
      </c>
      <c r="P3" s="1"/>
      <c r="Q3" s="6">
        <v>46077.0</v>
      </c>
      <c r="R3" s="1" t="s">
        <v>281</v>
      </c>
    </row>
    <row r="4">
      <c r="A4" s="1" t="s">
        <v>290</v>
      </c>
      <c r="B4" s="1" t="s">
        <v>261</v>
      </c>
      <c r="C4" s="1" t="s">
        <v>96</v>
      </c>
      <c r="D4" s="1" t="s">
        <v>97</v>
      </c>
      <c r="E4" s="1" t="str">
        <f t="array" ref="E4">_xlfn.XLOOKUP(C4,Users!B:B,Users!F:F)</f>
        <v>Admin</v>
      </c>
      <c r="F4" s="6">
        <v>46085.0</v>
      </c>
      <c r="G4" s="1" t="s">
        <v>293</v>
      </c>
      <c r="H4" s="1" t="s">
        <v>294</v>
      </c>
      <c r="I4" s="1" t="s">
        <v>295</v>
      </c>
      <c r="M4" s="1" t="s">
        <v>296</v>
      </c>
      <c r="N4" s="1" t="s">
        <v>89</v>
      </c>
      <c r="O4" s="1" t="s">
        <v>280</v>
      </c>
      <c r="P4" s="1"/>
      <c r="Q4" s="6">
        <v>46085.0</v>
      </c>
      <c r="R4" s="1" t="s">
        <v>281</v>
      </c>
      <c r="S4" s="6"/>
    </row>
    <row r="5">
      <c r="A5" s="1" t="s">
        <v>297</v>
      </c>
      <c r="B5" s="1" t="s">
        <v>261</v>
      </c>
      <c r="C5" s="1" t="s">
        <v>298</v>
      </c>
      <c r="D5" s="1" t="s">
        <v>62</v>
      </c>
      <c r="E5" s="1" t="str">
        <f t="array" ref="E5">_xlfn.XLOOKUP(C5,Users!B:B,Users!F:F)</f>
        <v>BTL</v>
      </c>
      <c r="F5" s="6">
        <v>46093.0</v>
      </c>
      <c r="G5" s="1" t="s">
        <v>300</v>
      </c>
      <c r="H5" s="1" t="s">
        <v>301</v>
      </c>
      <c r="M5" s="1" t="s">
        <v>302</v>
      </c>
      <c r="N5" s="1" t="s">
        <v>89</v>
      </c>
      <c r="O5" s="1" t="s">
        <v>280</v>
      </c>
      <c r="P5" s="1"/>
      <c r="Q5" s="6">
        <v>46093.0</v>
      </c>
      <c r="R5" s="1" t="s">
        <v>281</v>
      </c>
    </row>
    <row r="6">
      <c r="A6" s="1" t="s">
        <v>303</v>
      </c>
      <c r="B6" s="1" t="s">
        <v>261</v>
      </c>
      <c r="C6" s="1" t="s">
        <v>20</v>
      </c>
      <c r="D6" s="1" t="s">
        <v>40</v>
      </c>
      <c r="E6" s="1" t="str">
        <f t="array" ref="E6">_xlfn.XLOOKUP(C6,Users!B:B,Users!F:F)</f>
        <v>MKT</v>
      </c>
      <c r="F6" s="6">
        <v>46097.0</v>
      </c>
      <c r="G6" s="1" t="s">
        <v>307</v>
      </c>
      <c r="H6" s="1" t="s">
        <v>308</v>
      </c>
      <c r="M6" s="1" t="s">
        <v>309</v>
      </c>
      <c r="N6" s="1" t="s">
        <v>89</v>
      </c>
      <c r="O6" s="1" t="s">
        <v>280</v>
      </c>
      <c r="P6" s="1"/>
      <c r="Q6" s="6">
        <v>46097.0</v>
      </c>
      <c r="R6" s="1" t="s">
        <v>281</v>
      </c>
    </row>
    <row r="7">
      <c r="A7" s="1" t="s">
        <v>310</v>
      </c>
      <c r="B7" s="1" t="s">
        <v>261</v>
      </c>
      <c r="C7" s="1" t="s">
        <v>298</v>
      </c>
      <c r="D7" s="1" t="s">
        <v>62</v>
      </c>
      <c r="E7" s="1" t="str">
        <f t="array" ref="E7">_xlfn.XLOOKUP(C7,Users!B:B,Users!F:F)</f>
        <v>BTL</v>
      </c>
      <c r="F7" s="6">
        <v>46094.0</v>
      </c>
      <c r="G7" s="1" t="s">
        <v>311</v>
      </c>
      <c r="H7" s="1" t="s">
        <v>312</v>
      </c>
      <c r="M7" s="1" t="s">
        <v>313</v>
      </c>
      <c r="N7" s="1" t="s">
        <v>89</v>
      </c>
      <c r="O7" s="1" t="s">
        <v>280</v>
      </c>
      <c r="P7" s="1"/>
      <c r="Q7" s="6">
        <v>46094.0</v>
      </c>
      <c r="R7" s="1" t="s">
        <v>281</v>
      </c>
    </row>
    <row r="8">
      <c r="A8" s="1" t="s">
        <v>314</v>
      </c>
      <c r="B8" s="1" t="s">
        <v>261</v>
      </c>
      <c r="C8" s="1" t="s">
        <v>298</v>
      </c>
      <c r="D8" s="1" t="s">
        <v>62</v>
      </c>
      <c r="E8" s="1" t="str">
        <f t="array" ref="E8">_xlfn.XLOOKUP(C8,Users!B:B,Users!F:F)</f>
        <v>BTL</v>
      </c>
      <c r="F8" s="6">
        <v>46098.0</v>
      </c>
      <c r="G8" s="1" t="s">
        <v>317</v>
      </c>
      <c r="H8" s="1" t="s">
        <v>318</v>
      </c>
      <c r="M8" s="1" t="s">
        <v>319</v>
      </c>
      <c r="N8" s="1" t="s">
        <v>89</v>
      </c>
      <c r="O8" s="1" t="s">
        <v>280</v>
      </c>
      <c r="P8" s="1"/>
      <c r="Q8" s="6">
        <v>46098.0</v>
      </c>
      <c r="R8" s="1" t="s">
        <v>281</v>
      </c>
    </row>
    <row r="9">
      <c r="A9" s="1" t="s">
        <v>320</v>
      </c>
      <c r="B9" s="1" t="s">
        <v>261</v>
      </c>
      <c r="C9" s="1" t="s">
        <v>298</v>
      </c>
      <c r="D9" s="1" t="s">
        <v>62</v>
      </c>
      <c r="E9" s="1" t="str">
        <f t="array" ref="E9">_xlfn.XLOOKUP(C9,Users!B:B,Users!F:F)</f>
        <v>BTL</v>
      </c>
      <c r="F9" s="6">
        <v>46102.0</v>
      </c>
      <c r="G9" s="1" t="s">
        <v>327</v>
      </c>
      <c r="H9" s="1" t="s">
        <v>328</v>
      </c>
      <c r="M9" s="1" t="s">
        <v>329</v>
      </c>
      <c r="N9" s="1" t="s">
        <v>89</v>
      </c>
      <c r="O9" s="1" t="s">
        <v>280</v>
      </c>
      <c r="P9" s="1"/>
      <c r="Q9" s="6">
        <v>46102.0</v>
      </c>
      <c r="R9" s="1" t="s">
        <v>281</v>
      </c>
    </row>
    <row r="10">
      <c r="A10" s="1" t="s">
        <v>330</v>
      </c>
      <c r="B10" s="1" t="s">
        <v>261</v>
      </c>
      <c r="C10" s="1" t="s">
        <v>100</v>
      </c>
      <c r="D10" s="1" t="s">
        <v>50</v>
      </c>
      <c r="E10" s="1" t="str">
        <f t="array" ref="E10">_xlfn.XLOOKUP(C10,Users!B:B,Users!F:F)</f>
        <v>CS</v>
      </c>
      <c r="F10" s="6">
        <v>46106.0</v>
      </c>
      <c r="G10" s="1" t="s">
        <v>334</v>
      </c>
      <c r="H10" s="1" t="s">
        <v>335</v>
      </c>
      <c r="I10" s="1" t="s">
        <v>336</v>
      </c>
      <c r="M10" s="1" t="s">
        <v>337</v>
      </c>
      <c r="N10" s="1" t="s">
        <v>89</v>
      </c>
      <c r="O10" s="1" t="s">
        <v>280</v>
      </c>
      <c r="P10" s="1"/>
      <c r="Q10" s="6">
        <v>46106.0</v>
      </c>
      <c r="R10" s="1" t="s">
        <v>281</v>
      </c>
    </row>
    <row r="11">
      <c r="A11" s="1" t="s">
        <v>338</v>
      </c>
      <c r="B11" s="1" t="s">
        <v>261</v>
      </c>
      <c r="C11" s="1" t="s">
        <v>96</v>
      </c>
      <c r="D11" s="1" t="s">
        <v>97</v>
      </c>
      <c r="E11" s="1" t="str">
        <f t="array" ref="E11">_xlfn.XLOOKUP(C11,Users!B:B,Users!F:F)</f>
        <v>Admin</v>
      </c>
      <c r="F11" s="6">
        <v>46107.0</v>
      </c>
      <c r="G11" s="1" t="s">
        <v>342</v>
      </c>
      <c r="H11" s="1" t="s">
        <v>343</v>
      </c>
      <c r="I11" s="1" t="s">
        <v>344</v>
      </c>
      <c r="M11" s="1" t="s">
        <v>345</v>
      </c>
      <c r="N11" s="1" t="s">
        <v>89</v>
      </c>
      <c r="O11" s="1" t="s">
        <v>280</v>
      </c>
      <c r="P11" s="1"/>
      <c r="Q11" s="6">
        <v>46107.0</v>
      </c>
      <c r="R11" s="1" t="s">
        <v>281</v>
      </c>
    </row>
    <row r="12">
      <c r="A12" s="1" t="s">
        <v>346</v>
      </c>
      <c r="B12" s="1" t="s">
        <v>261</v>
      </c>
      <c r="C12" s="1" t="s">
        <v>96</v>
      </c>
      <c r="D12" s="1" t="s">
        <v>97</v>
      </c>
      <c r="E12" s="1" t="str">
        <f t="array" ref="E12">_xlfn.XLOOKUP(C12,Users!B:B,Users!F:F)</f>
        <v>Admin</v>
      </c>
      <c r="F12" s="6">
        <v>46107.0</v>
      </c>
      <c r="G12" s="1" t="s">
        <v>350</v>
      </c>
      <c r="H12" s="1" t="s">
        <v>351</v>
      </c>
      <c r="M12" s="1" t="s">
        <v>352</v>
      </c>
      <c r="N12" s="1" t="s">
        <v>89</v>
      </c>
      <c r="O12" s="1" t="s">
        <v>280</v>
      </c>
      <c r="P12" s="1"/>
      <c r="Q12" s="6">
        <v>46107.0</v>
      </c>
      <c r="R12" s="1" t="s">
        <v>281</v>
      </c>
    </row>
    <row r="13">
      <c r="A13" s="1" t="s">
        <v>355</v>
      </c>
      <c r="B13" s="1" t="s">
        <v>261</v>
      </c>
      <c r="C13" s="1" t="s">
        <v>67</v>
      </c>
      <c r="D13" s="1" t="s">
        <v>69</v>
      </c>
      <c r="E13" s="1" t="str">
        <f t="array" ref="E13">_xlfn.XLOOKUP(C13,Users!B:B,Users!F:F)</f>
        <v>BTL</v>
      </c>
      <c r="F13" s="6">
        <v>46114.0</v>
      </c>
      <c r="G13" s="1" t="s">
        <v>357</v>
      </c>
      <c r="H13" s="1" t="s">
        <v>358</v>
      </c>
      <c r="J13" s="1" t="s">
        <v>359</v>
      </c>
      <c r="M13" s="1" t="s">
        <v>361</v>
      </c>
      <c r="N13" s="1" t="s">
        <v>89</v>
      </c>
      <c r="O13" s="1" t="s">
        <v>280</v>
      </c>
      <c r="P13" s="1"/>
      <c r="Q13" s="6">
        <v>46114.0</v>
      </c>
      <c r="R13" s="1" t="s">
        <v>281</v>
      </c>
    </row>
    <row r="14">
      <c r="A14" s="1" t="s">
        <v>364</v>
      </c>
      <c r="B14" s="1" t="s">
        <v>261</v>
      </c>
      <c r="C14" s="1" t="s">
        <v>67</v>
      </c>
      <c r="D14" s="1" t="s">
        <v>69</v>
      </c>
      <c r="E14" s="1" t="str">
        <f t="array" ref="E14">_xlfn.XLOOKUP(C14,Users!B:B,Users!F:F)</f>
        <v>BTL</v>
      </c>
      <c r="F14" s="6">
        <v>46114.0</v>
      </c>
      <c r="G14" s="1" t="s">
        <v>365</v>
      </c>
      <c r="H14" s="1" t="s">
        <v>366</v>
      </c>
      <c r="J14" s="1" t="s">
        <v>359</v>
      </c>
      <c r="M14" s="1" t="s">
        <v>368</v>
      </c>
      <c r="N14" s="1" t="s">
        <v>89</v>
      </c>
      <c r="O14" s="1" t="s">
        <v>280</v>
      </c>
      <c r="P14" s="1"/>
      <c r="Q14" s="6">
        <v>46114.0</v>
      </c>
      <c r="R14" s="1" t="s">
        <v>281</v>
      </c>
    </row>
    <row r="15">
      <c r="A15" s="1" t="s">
        <v>371</v>
      </c>
      <c r="B15" s="1" t="s">
        <v>261</v>
      </c>
      <c r="C15" s="1" t="s">
        <v>298</v>
      </c>
      <c r="D15" s="1" t="s">
        <v>62</v>
      </c>
      <c r="E15" s="1" t="str">
        <f t="array" ref="E15">_xlfn.XLOOKUP(C15,Users!B:B,Users!F:F)</f>
        <v>BTL</v>
      </c>
      <c r="F15" s="6">
        <v>46113.0</v>
      </c>
      <c r="G15" s="1" t="s">
        <v>372</v>
      </c>
      <c r="H15" s="1" t="s">
        <v>373</v>
      </c>
      <c r="I15" s="1" t="s">
        <v>374</v>
      </c>
      <c r="M15" s="1" t="s">
        <v>375</v>
      </c>
      <c r="N15" s="1" t="s">
        <v>89</v>
      </c>
      <c r="O15" s="1" t="s">
        <v>280</v>
      </c>
      <c r="P15" s="1"/>
      <c r="Q15" s="6">
        <v>46113.0</v>
      </c>
      <c r="R15" s="1" t="s">
        <v>281</v>
      </c>
    </row>
    <row r="16">
      <c r="A16" s="1" t="s">
        <v>379</v>
      </c>
      <c r="B16" s="1" t="s">
        <v>261</v>
      </c>
      <c r="C16" s="1" t="s">
        <v>298</v>
      </c>
      <c r="D16" s="1" t="s">
        <v>62</v>
      </c>
      <c r="E16" s="1" t="str">
        <f t="array" ref="E16">_xlfn.XLOOKUP(C16,Users!B:B,Users!F:F)</f>
        <v>BTL</v>
      </c>
      <c r="F16" s="6">
        <v>46119.0</v>
      </c>
      <c r="G16" s="1" t="s">
        <v>380</v>
      </c>
      <c r="H16" s="1" t="s">
        <v>381</v>
      </c>
      <c r="M16" s="1" t="s">
        <v>382</v>
      </c>
      <c r="N16" s="1" t="s">
        <v>89</v>
      </c>
      <c r="O16" s="1" t="s">
        <v>280</v>
      </c>
      <c r="P16" s="1"/>
      <c r="Q16" s="6">
        <v>46119.0</v>
      </c>
      <c r="R16" s="1" t="s">
        <v>281</v>
      </c>
    </row>
    <row r="17">
      <c r="A17" s="1" t="s">
        <v>386</v>
      </c>
      <c r="B17" s="1" t="s">
        <v>261</v>
      </c>
      <c r="C17" s="1" t="s">
        <v>100</v>
      </c>
      <c r="D17" s="1" t="s">
        <v>50</v>
      </c>
      <c r="E17" s="1" t="str">
        <f t="array" ref="E17">_xlfn.XLOOKUP(C17,Users!B:B,Users!F:F)</f>
        <v>CS</v>
      </c>
      <c r="F17" s="6">
        <v>46120.0</v>
      </c>
      <c r="G17" s="1" t="s">
        <v>390</v>
      </c>
      <c r="H17" s="1" t="s">
        <v>392</v>
      </c>
      <c r="I17" s="1" t="s">
        <v>393</v>
      </c>
      <c r="M17" s="1" t="s">
        <v>394</v>
      </c>
      <c r="N17" s="1" t="s">
        <v>89</v>
      </c>
      <c r="O17" s="1" t="s">
        <v>280</v>
      </c>
      <c r="P17" s="1"/>
      <c r="Q17" s="6">
        <v>46120.0</v>
      </c>
      <c r="R17" s="1" t="s">
        <v>281</v>
      </c>
    </row>
    <row r="18">
      <c r="A18" s="1" t="s">
        <v>397</v>
      </c>
      <c r="B18" s="1" t="s">
        <v>261</v>
      </c>
      <c r="C18" s="1" t="s">
        <v>100</v>
      </c>
      <c r="D18" s="1" t="s">
        <v>50</v>
      </c>
      <c r="E18" s="1" t="str">
        <f t="array" ref="E18">_xlfn.XLOOKUP(C18,Users!B:B,Users!F:F)</f>
        <v>CS</v>
      </c>
      <c r="F18" s="6">
        <v>46122.0</v>
      </c>
      <c r="G18" s="1" t="s">
        <v>390</v>
      </c>
      <c r="H18" s="1" t="s">
        <v>401</v>
      </c>
      <c r="M18" s="1" t="s">
        <v>402</v>
      </c>
      <c r="N18" s="1" t="s">
        <v>89</v>
      </c>
      <c r="O18" s="1" t="s">
        <v>280</v>
      </c>
      <c r="P18" s="1"/>
      <c r="Q18" s="6">
        <v>46122.0</v>
      </c>
      <c r="R18" s="1" t="s">
        <v>281</v>
      </c>
    </row>
    <row r="19">
      <c r="A19" s="1" t="s">
        <v>403</v>
      </c>
      <c r="B19" s="1" t="s">
        <v>261</v>
      </c>
      <c r="C19" s="1" t="s">
        <v>298</v>
      </c>
      <c r="D19" s="1" t="s">
        <v>62</v>
      </c>
      <c r="E19" s="1" t="str">
        <f t="array" ref="E19">_xlfn.XLOOKUP(C19,Users!B:B,Users!F:F)</f>
        <v>BTL</v>
      </c>
      <c r="F19" s="6">
        <v>46132.0</v>
      </c>
      <c r="G19" s="1" t="s">
        <v>408</v>
      </c>
      <c r="H19" s="1" t="s">
        <v>409</v>
      </c>
      <c r="M19" s="1" t="s">
        <v>410</v>
      </c>
      <c r="N19" s="1" t="s">
        <v>89</v>
      </c>
      <c r="O19" s="1" t="s">
        <v>280</v>
      </c>
      <c r="P19" s="1"/>
      <c r="Q19" s="6">
        <v>46132.0</v>
      </c>
      <c r="R19" s="1" t="s">
        <v>281</v>
      </c>
    </row>
    <row r="20">
      <c r="A20" s="1" t="s">
        <v>411</v>
      </c>
      <c r="B20" s="1" t="s">
        <v>261</v>
      </c>
      <c r="C20" s="1" t="s">
        <v>298</v>
      </c>
      <c r="D20" s="1" t="s">
        <v>62</v>
      </c>
      <c r="E20" s="1" t="str">
        <f t="array" ref="E20">_xlfn.XLOOKUP(C20,Users!B:B,Users!F:F)</f>
        <v>BTL</v>
      </c>
      <c r="F20" s="6">
        <v>46132.0</v>
      </c>
      <c r="G20" s="1" t="s">
        <v>414</v>
      </c>
      <c r="H20" s="1" t="s">
        <v>415</v>
      </c>
      <c r="M20" s="1" t="s">
        <v>416</v>
      </c>
      <c r="N20" s="1" t="s">
        <v>89</v>
      </c>
      <c r="O20" s="1" t="s">
        <v>280</v>
      </c>
      <c r="P20" s="1"/>
      <c r="Q20" s="6">
        <v>46132.0</v>
      </c>
      <c r="R20" s="1" t="s">
        <v>281</v>
      </c>
    </row>
    <row r="21">
      <c r="A21" s="1" t="s">
        <v>417</v>
      </c>
      <c r="B21" s="1" t="s">
        <v>261</v>
      </c>
      <c r="C21" s="1" t="s">
        <v>298</v>
      </c>
      <c r="D21" s="1" t="s">
        <v>62</v>
      </c>
      <c r="E21" s="1" t="str">
        <f t="array" ref="E21">_xlfn.XLOOKUP(C21,Users!B:B,Users!F:F)</f>
        <v>BTL</v>
      </c>
      <c r="F21" s="6">
        <v>46132.0</v>
      </c>
      <c r="G21" s="1" t="s">
        <v>420</v>
      </c>
      <c r="H21" s="1" t="s">
        <v>422</v>
      </c>
      <c r="M21" s="1" t="s">
        <v>423</v>
      </c>
      <c r="N21" s="1" t="s">
        <v>89</v>
      </c>
      <c r="O21" s="1" t="s">
        <v>280</v>
      </c>
      <c r="P21" s="1"/>
      <c r="Q21" s="6">
        <v>46132.0</v>
      </c>
      <c r="R21" s="1" t="s">
        <v>281</v>
      </c>
    </row>
    <row r="22">
      <c r="A22" s="1" t="s">
        <v>424</v>
      </c>
      <c r="B22" s="1" t="s">
        <v>261</v>
      </c>
      <c r="C22" s="1" t="s">
        <v>67</v>
      </c>
      <c r="D22" s="1" t="s">
        <v>69</v>
      </c>
      <c r="E22" s="1" t="str">
        <f t="array" ref="E22">_xlfn.XLOOKUP(C22,Users!B:B,Users!F:F)</f>
        <v>BTL</v>
      </c>
      <c r="F22" s="6">
        <v>46134.0</v>
      </c>
      <c r="G22" s="1" t="s">
        <v>430</v>
      </c>
      <c r="H22" s="1" t="s">
        <v>431</v>
      </c>
      <c r="I22" s="1" t="s">
        <v>432</v>
      </c>
      <c r="M22" s="1" t="s">
        <v>433</v>
      </c>
      <c r="N22" s="1" t="s">
        <v>89</v>
      </c>
      <c r="O22" s="1" t="s">
        <v>280</v>
      </c>
      <c r="P22" s="1"/>
      <c r="Q22" s="6">
        <v>46134.0</v>
      </c>
      <c r="R22" s="1" t="s">
        <v>281</v>
      </c>
    </row>
    <row r="23">
      <c r="A23" s="1" t="s">
        <v>435</v>
      </c>
      <c r="B23" s="1" t="s">
        <v>261</v>
      </c>
      <c r="C23" s="1" t="s">
        <v>67</v>
      </c>
      <c r="D23" s="1" t="s">
        <v>69</v>
      </c>
      <c r="E23" s="1" t="str">
        <f t="array" ref="E23">_xlfn.XLOOKUP(C23,Users!B:B,Users!F:F)</f>
        <v>BTL</v>
      </c>
      <c r="F23" s="6">
        <v>46134.0</v>
      </c>
      <c r="G23" s="1" t="s">
        <v>437</v>
      </c>
      <c r="H23" s="1" t="s">
        <v>438</v>
      </c>
      <c r="I23" s="1" t="s">
        <v>439</v>
      </c>
      <c r="M23" s="1" t="s">
        <v>440</v>
      </c>
      <c r="N23" s="1" t="s">
        <v>89</v>
      </c>
      <c r="O23" s="1" t="s">
        <v>280</v>
      </c>
      <c r="P23" s="1"/>
      <c r="Q23" s="6">
        <v>46134.0</v>
      </c>
      <c r="R23" s="1" t="s">
        <v>281</v>
      </c>
    </row>
    <row r="24">
      <c r="A24" s="1" t="s">
        <v>444</v>
      </c>
      <c r="B24" s="1" t="s">
        <v>261</v>
      </c>
      <c r="C24" s="1" t="s">
        <v>298</v>
      </c>
      <c r="D24" s="1" t="s">
        <v>62</v>
      </c>
      <c r="E24" s="1" t="str">
        <f t="array" ref="E24">_xlfn.XLOOKUP(C24,Users!B:B,Users!F:F)</f>
        <v>BTL</v>
      </c>
      <c r="F24" s="6">
        <v>46134.0</v>
      </c>
      <c r="G24" s="1" t="s">
        <v>446</v>
      </c>
      <c r="H24" s="1" t="s">
        <v>447</v>
      </c>
      <c r="I24" s="1" t="s">
        <v>449</v>
      </c>
      <c r="M24" s="1" t="s">
        <v>451</v>
      </c>
      <c r="N24" s="1" t="s">
        <v>89</v>
      </c>
      <c r="O24" s="1" t="s">
        <v>280</v>
      </c>
      <c r="P24" s="1"/>
      <c r="Q24" s="6">
        <v>46134.0</v>
      </c>
      <c r="R24" s="1" t="s">
        <v>281</v>
      </c>
    </row>
    <row r="25">
      <c r="A25" s="1" t="s">
        <v>454</v>
      </c>
      <c r="B25" s="1" t="s">
        <v>261</v>
      </c>
      <c r="C25" s="1" t="s">
        <v>96</v>
      </c>
      <c r="D25" s="1" t="s">
        <v>97</v>
      </c>
      <c r="E25" s="1" t="str">
        <f t="array" ref="E25">_xlfn.XLOOKUP(C25,Users!B:B,Users!F:F)</f>
        <v>Admin</v>
      </c>
      <c r="F25" s="6">
        <v>46135.0</v>
      </c>
      <c r="G25" s="1" t="s">
        <v>458</v>
      </c>
      <c r="H25" s="1" t="s">
        <v>459</v>
      </c>
      <c r="I25" s="1" t="s">
        <v>461</v>
      </c>
      <c r="M25" s="1" t="s">
        <v>462</v>
      </c>
      <c r="N25" s="1" t="s">
        <v>89</v>
      </c>
      <c r="O25" s="1" t="s">
        <v>280</v>
      </c>
      <c r="P25" s="1"/>
      <c r="Q25" s="6">
        <v>46135.0</v>
      </c>
      <c r="R25" s="1" t="s">
        <v>463</v>
      </c>
    </row>
    <row r="26">
      <c r="A26" s="1" t="s">
        <v>465</v>
      </c>
      <c r="B26" s="1" t="s">
        <v>261</v>
      </c>
      <c r="C26" s="1" t="s">
        <v>100</v>
      </c>
      <c r="D26" s="1" t="s">
        <v>50</v>
      </c>
      <c r="E26" s="1" t="str">
        <f t="array" ref="E26">_xlfn.XLOOKUP(C26,Users!B:B,Users!F:F)</f>
        <v>CS</v>
      </c>
      <c r="F26" s="6">
        <v>46139.0</v>
      </c>
      <c r="G26" s="1" t="s">
        <v>470</v>
      </c>
      <c r="H26" s="1" t="s">
        <v>471</v>
      </c>
      <c r="M26" s="1" t="s">
        <v>472</v>
      </c>
      <c r="N26" s="1" t="s">
        <v>89</v>
      </c>
      <c r="O26" s="1" t="s">
        <v>280</v>
      </c>
      <c r="P26" s="1"/>
      <c r="Q26" s="6">
        <v>46139.0</v>
      </c>
      <c r="R26" s="1" t="s">
        <v>281</v>
      </c>
    </row>
    <row r="27">
      <c r="A27" s="1" t="s">
        <v>474</v>
      </c>
      <c r="B27" s="1" t="s">
        <v>261</v>
      </c>
      <c r="C27" s="1" t="s">
        <v>100</v>
      </c>
      <c r="D27" s="1" t="s">
        <v>50</v>
      </c>
      <c r="E27" s="1" t="str">
        <f t="array" ref="E27">_xlfn.XLOOKUP(C27,Users!B:B,Users!F:F)</f>
        <v>CS</v>
      </c>
      <c r="F27" s="6">
        <v>46140.0</v>
      </c>
      <c r="G27" s="1" t="s">
        <v>390</v>
      </c>
      <c r="H27" s="1" t="s">
        <v>475</v>
      </c>
      <c r="I27" s="1" t="s">
        <v>476</v>
      </c>
      <c r="M27" s="1" t="s">
        <v>477</v>
      </c>
      <c r="N27" s="1" t="s">
        <v>89</v>
      </c>
      <c r="O27" s="1" t="s">
        <v>280</v>
      </c>
      <c r="P27" s="1"/>
      <c r="Q27" s="6">
        <v>46140.0</v>
      </c>
      <c r="R27" s="1" t="s">
        <v>281</v>
      </c>
    </row>
    <row r="28">
      <c r="A28" s="1" t="s">
        <v>478</v>
      </c>
      <c r="B28" s="1" t="s">
        <v>261</v>
      </c>
      <c r="C28" s="1" t="s">
        <v>67</v>
      </c>
      <c r="D28" s="1" t="s">
        <v>69</v>
      </c>
      <c r="E28" s="1" t="str">
        <f t="array" ref="E28">_xlfn.XLOOKUP(C28,Users!B:B,Users!F:F)</f>
        <v>BTL</v>
      </c>
      <c r="F28" s="6">
        <v>46140.0</v>
      </c>
      <c r="G28" s="1" t="s">
        <v>481</v>
      </c>
      <c r="H28" s="1" t="s">
        <v>482</v>
      </c>
      <c r="M28" s="1" t="s">
        <v>483</v>
      </c>
      <c r="N28" s="1" t="s">
        <v>89</v>
      </c>
      <c r="O28" s="1" t="s">
        <v>280</v>
      </c>
      <c r="P28" s="1"/>
      <c r="Q28" s="6">
        <v>46140.0</v>
      </c>
      <c r="R28" s="1" t="s">
        <v>281</v>
      </c>
    </row>
    <row r="29">
      <c r="A29" s="1" t="s">
        <v>486</v>
      </c>
      <c r="B29" s="1" t="s">
        <v>261</v>
      </c>
      <c r="C29" s="1" t="s">
        <v>100</v>
      </c>
      <c r="D29" s="1" t="s">
        <v>50</v>
      </c>
      <c r="E29" s="1" t="s">
        <v>101</v>
      </c>
      <c r="F29" s="6">
        <v>46147.0</v>
      </c>
      <c r="G29" s="1" t="s">
        <v>390</v>
      </c>
      <c r="H29" s="1" t="s">
        <v>488</v>
      </c>
      <c r="M29" s="1" t="s">
        <v>489</v>
      </c>
      <c r="N29" s="1" t="s">
        <v>115</v>
      </c>
      <c r="O29" s="1" t="s">
        <v>280</v>
      </c>
      <c r="P29" s="1"/>
      <c r="Q29" s="6">
        <v>46147.0</v>
      </c>
      <c r="R29" s="1" t="s">
        <v>281</v>
      </c>
    </row>
    <row r="30">
      <c r="A30" s="1" t="s">
        <v>490</v>
      </c>
      <c r="B30" s="1" t="s">
        <v>261</v>
      </c>
      <c r="C30" s="1" t="s">
        <v>100</v>
      </c>
      <c r="D30" s="1" t="s">
        <v>50</v>
      </c>
      <c r="E30" s="1" t="s">
        <v>491</v>
      </c>
      <c r="F30" s="6">
        <v>46150.0</v>
      </c>
      <c r="G30" s="1" t="s">
        <v>334</v>
      </c>
      <c r="H30" s="1" t="s">
        <v>492</v>
      </c>
      <c r="M30" s="1" t="s">
        <v>493</v>
      </c>
      <c r="N30" s="1" t="s">
        <v>115</v>
      </c>
      <c r="O30" s="1" t="s">
        <v>280</v>
      </c>
      <c r="P30" s="1"/>
      <c r="Q30" s="6">
        <v>46150.0</v>
      </c>
      <c r="R30" s="1" t="s">
        <v>281</v>
      </c>
    </row>
    <row r="31">
      <c r="A31" s="1" t="s">
        <v>497</v>
      </c>
      <c r="B31" s="1" t="s">
        <v>261</v>
      </c>
      <c r="C31" s="1" t="s">
        <v>96</v>
      </c>
      <c r="D31" s="1" t="s">
        <v>97</v>
      </c>
      <c r="E31" s="1" t="s">
        <v>74</v>
      </c>
      <c r="F31" s="6">
        <v>46153.0</v>
      </c>
      <c r="G31" s="1" t="s">
        <v>500</v>
      </c>
      <c r="H31" s="1" t="s">
        <v>501</v>
      </c>
      <c r="I31" s="1" t="s">
        <v>502</v>
      </c>
      <c r="M31" s="1" t="s">
        <v>503</v>
      </c>
      <c r="N31" s="1" t="s">
        <v>115</v>
      </c>
      <c r="O31" s="1" t="s">
        <v>280</v>
      </c>
      <c r="P31" s="1"/>
      <c r="Q31" s="6">
        <v>46331.0</v>
      </c>
      <c r="R31" s="1" t="s">
        <v>281</v>
      </c>
    </row>
    <row r="32">
      <c r="A32" s="1" t="s">
        <v>505</v>
      </c>
      <c r="B32" s="1" t="s">
        <v>261</v>
      </c>
      <c r="C32" s="1" t="s">
        <v>96</v>
      </c>
      <c r="D32" s="1" t="s">
        <v>97</v>
      </c>
      <c r="E32" s="1" t="s">
        <v>74</v>
      </c>
      <c r="F32" s="6">
        <v>46153.0</v>
      </c>
      <c r="G32" s="1" t="s">
        <v>506</v>
      </c>
      <c r="H32" s="1" t="s">
        <v>507</v>
      </c>
      <c r="I32" s="1" t="s">
        <v>509</v>
      </c>
      <c r="M32" s="1" t="s">
        <v>510</v>
      </c>
      <c r="N32" s="1" t="s">
        <v>115</v>
      </c>
      <c r="O32" s="1" t="s">
        <v>280</v>
      </c>
      <c r="P32" s="1"/>
      <c r="Q32" s="6">
        <v>46331.0</v>
      </c>
      <c r="R32" s="1" t="s">
        <v>281</v>
      </c>
    </row>
    <row r="33">
      <c r="A33" s="1" t="s">
        <v>512</v>
      </c>
      <c r="B33" s="1" t="s">
        <v>261</v>
      </c>
      <c r="C33" s="1" t="s">
        <v>100</v>
      </c>
      <c r="D33" s="1" t="s">
        <v>50</v>
      </c>
      <c r="E33" s="1" t="s">
        <v>491</v>
      </c>
      <c r="F33" s="6">
        <v>46150.0</v>
      </c>
      <c r="G33" s="1" t="s">
        <v>514</v>
      </c>
      <c r="H33" s="1" t="s">
        <v>515</v>
      </c>
      <c r="I33" s="1" t="s">
        <v>516</v>
      </c>
      <c r="M33" s="1" t="s">
        <v>517</v>
      </c>
      <c r="N33" s="1" t="s">
        <v>115</v>
      </c>
      <c r="O33" s="1" t="s">
        <v>280</v>
      </c>
      <c r="P33" s="1"/>
      <c r="Q33" s="6">
        <v>46150.0</v>
      </c>
      <c r="R33" s="1" t="s">
        <v>281</v>
      </c>
    </row>
    <row r="34">
      <c r="A34" s="1" t="s">
        <v>521</v>
      </c>
      <c r="B34" s="1" t="s">
        <v>261</v>
      </c>
      <c r="C34" s="1" t="s">
        <v>100</v>
      </c>
      <c r="D34" s="1" t="s">
        <v>50</v>
      </c>
      <c r="E34" s="1" t="s">
        <v>491</v>
      </c>
      <c r="F34" s="6">
        <v>46155.0</v>
      </c>
      <c r="G34" s="1" t="s">
        <v>514</v>
      </c>
      <c r="H34" s="1" t="s">
        <v>522</v>
      </c>
      <c r="M34" s="1" t="s">
        <v>523</v>
      </c>
      <c r="N34" s="1" t="s">
        <v>115</v>
      </c>
      <c r="O34" s="1" t="s">
        <v>280</v>
      </c>
      <c r="P34" s="1"/>
      <c r="Q34" s="6">
        <v>46155.0</v>
      </c>
      <c r="R34" s="1" t="s">
        <v>281</v>
      </c>
    </row>
    <row r="35">
      <c r="A35" s="1" t="s">
        <v>525</v>
      </c>
      <c r="B35" s="1" t="s">
        <v>261</v>
      </c>
      <c r="C35" s="1" t="s">
        <v>55</v>
      </c>
      <c r="D35" s="1" t="s">
        <v>57</v>
      </c>
      <c r="E35" s="1" t="s">
        <v>43</v>
      </c>
      <c r="F35" s="6">
        <v>46156.0</v>
      </c>
      <c r="G35" s="1" t="s">
        <v>63</v>
      </c>
      <c r="H35" s="1" t="s">
        <v>526</v>
      </c>
      <c r="I35" s="1" t="s">
        <v>527</v>
      </c>
      <c r="M35" s="1" t="s">
        <v>528</v>
      </c>
      <c r="N35" s="1" t="s">
        <v>115</v>
      </c>
      <c r="O35" s="1" t="s">
        <v>280</v>
      </c>
      <c r="P35" s="1"/>
      <c r="Q35" s="6">
        <v>46156.0</v>
      </c>
      <c r="R35" s="1" t="s">
        <v>281</v>
      </c>
    </row>
    <row r="36">
      <c r="A36" s="1" t="s">
        <v>530</v>
      </c>
      <c r="B36" s="1" t="s">
        <v>261</v>
      </c>
      <c r="C36" s="1" t="s">
        <v>20</v>
      </c>
      <c r="D36" s="1" t="s">
        <v>40</v>
      </c>
      <c r="E36" s="1" t="s">
        <v>491</v>
      </c>
      <c r="F36" s="6">
        <v>46157.0</v>
      </c>
      <c r="G36" s="1" t="s">
        <v>531</v>
      </c>
      <c r="H36" s="1" t="s">
        <v>532</v>
      </c>
      <c r="I36" s="1" t="s">
        <v>533</v>
      </c>
      <c r="M36" s="1" t="s">
        <v>534</v>
      </c>
      <c r="N36" s="1" t="s">
        <v>115</v>
      </c>
      <c r="O36" s="1" t="s">
        <v>280</v>
      </c>
      <c r="P36" s="1"/>
      <c r="Q36" s="6">
        <v>46157.0</v>
      </c>
      <c r="R36" s="1" t="s">
        <v>281</v>
      </c>
    </row>
    <row r="37">
      <c r="A37" s="1" t="s">
        <v>535</v>
      </c>
      <c r="B37" s="1" t="s">
        <v>261</v>
      </c>
      <c r="C37" s="1" t="s">
        <v>100</v>
      </c>
      <c r="D37" s="1" t="s">
        <v>50</v>
      </c>
      <c r="E37" s="1" t="s">
        <v>491</v>
      </c>
      <c r="F37" s="6">
        <v>46160.0</v>
      </c>
      <c r="G37" s="1" t="s">
        <v>538</v>
      </c>
      <c r="H37" s="1" t="s">
        <v>540</v>
      </c>
      <c r="M37" s="1" t="s">
        <v>541</v>
      </c>
      <c r="N37" s="1" t="s">
        <v>115</v>
      </c>
      <c r="O37" s="1" t="s">
        <v>280</v>
      </c>
      <c r="P37" s="1"/>
      <c r="Q37" s="6">
        <v>46160.0</v>
      </c>
      <c r="R37" s="1" t="s">
        <v>281</v>
      </c>
    </row>
    <row r="38">
      <c r="A38" s="1" t="s">
        <v>543</v>
      </c>
      <c r="B38" s="1" t="s">
        <v>261</v>
      </c>
      <c r="C38" s="1" t="s">
        <v>125</v>
      </c>
      <c r="D38" s="1" t="s">
        <v>128</v>
      </c>
      <c r="E38" s="1" t="s">
        <v>127</v>
      </c>
      <c r="F38" s="6">
        <v>46169.0</v>
      </c>
      <c r="G38" s="1" t="s">
        <v>545</v>
      </c>
      <c r="H38" s="1" t="s">
        <v>546</v>
      </c>
      <c r="I38" s="1" t="s">
        <v>547</v>
      </c>
      <c r="M38" s="1" t="s">
        <v>548</v>
      </c>
      <c r="N38" s="1" t="s">
        <v>115</v>
      </c>
      <c r="O38" s="1" t="s">
        <v>280</v>
      </c>
      <c r="P38" s="1"/>
      <c r="Q38" s="6">
        <v>46169.0</v>
      </c>
      <c r="R38" s="1" t="s">
        <v>281</v>
      </c>
    </row>
    <row r="39">
      <c r="A39" s="1" t="s">
        <v>550</v>
      </c>
      <c r="B39" s="1" t="s">
        <v>261</v>
      </c>
      <c r="C39" s="1" t="s">
        <v>100</v>
      </c>
      <c r="D39" s="1" t="s">
        <v>50</v>
      </c>
      <c r="E39" s="1" t="s">
        <v>491</v>
      </c>
      <c r="F39" s="6">
        <v>46163.0</v>
      </c>
      <c r="G39" s="1" t="s">
        <v>554</v>
      </c>
      <c r="H39" s="1" t="s">
        <v>555</v>
      </c>
      <c r="I39" s="1" t="s">
        <v>556</v>
      </c>
      <c r="M39" s="1" t="s">
        <v>557</v>
      </c>
      <c r="N39" s="1" t="s">
        <v>115</v>
      </c>
      <c r="O39" s="1" t="s">
        <v>280</v>
      </c>
      <c r="P39" s="1"/>
      <c r="Q39" s="6">
        <v>46163.0</v>
      </c>
      <c r="R39" s="1" t="s">
        <v>281</v>
      </c>
    </row>
    <row r="40">
      <c r="A40" s="1" t="s">
        <v>558</v>
      </c>
      <c r="B40" s="1" t="s">
        <v>261</v>
      </c>
      <c r="C40" s="1" t="s">
        <v>100</v>
      </c>
      <c r="D40" s="1" t="s">
        <v>50</v>
      </c>
      <c r="E40" s="1" t="s">
        <v>491</v>
      </c>
      <c r="F40" s="6">
        <v>46167.0</v>
      </c>
      <c r="G40" s="1" t="s">
        <v>559</v>
      </c>
      <c r="H40" s="1" t="s">
        <v>560</v>
      </c>
      <c r="M40" s="1" t="s">
        <v>561</v>
      </c>
      <c r="N40" s="1" t="s">
        <v>89</v>
      </c>
      <c r="O40" s="1" t="s">
        <v>280</v>
      </c>
      <c r="P40" s="1"/>
      <c r="Q40" s="6">
        <v>46167.0</v>
      </c>
      <c r="R40" s="1" t="s">
        <v>281</v>
      </c>
    </row>
    <row r="41">
      <c r="A41" s="1" t="s">
        <v>562</v>
      </c>
      <c r="B41" s="1" t="s">
        <v>261</v>
      </c>
      <c r="C41" s="1" t="s">
        <v>100</v>
      </c>
      <c r="D41" s="1" t="s">
        <v>50</v>
      </c>
      <c r="E41" s="1" t="s">
        <v>491</v>
      </c>
      <c r="F41" s="6">
        <v>46169.0</v>
      </c>
      <c r="G41" s="1" t="s">
        <v>567</v>
      </c>
      <c r="H41" s="1" t="s">
        <v>568</v>
      </c>
      <c r="I41" s="1" t="s">
        <v>569</v>
      </c>
      <c r="M41" s="1" t="s">
        <v>570</v>
      </c>
      <c r="N41" s="1" t="s">
        <v>89</v>
      </c>
      <c r="O41" s="1" t="s">
        <v>280</v>
      </c>
      <c r="P41" s="1"/>
      <c r="Q41" s="6">
        <v>46169.0</v>
      </c>
      <c r="R41" s="1" t="s">
        <v>281</v>
      </c>
    </row>
    <row r="42">
      <c r="A42" s="1" t="s">
        <v>571</v>
      </c>
      <c r="B42" s="1" t="s">
        <v>261</v>
      </c>
      <c r="C42" s="1" t="s">
        <v>20</v>
      </c>
      <c r="D42" s="1" t="s">
        <v>40</v>
      </c>
      <c r="E42" s="1" t="s">
        <v>491</v>
      </c>
      <c r="F42" s="6">
        <v>46169.0</v>
      </c>
      <c r="G42" s="1" t="s">
        <v>572</v>
      </c>
      <c r="H42" s="1" t="s">
        <v>573</v>
      </c>
      <c r="M42" s="1" t="s">
        <v>574</v>
      </c>
      <c r="N42" s="1" t="s">
        <v>89</v>
      </c>
      <c r="O42" s="1" t="s">
        <v>280</v>
      </c>
      <c r="P42" s="1"/>
      <c r="Q42" s="6">
        <v>46169.0</v>
      </c>
      <c r="R42" s="1" t="s">
        <v>281</v>
      </c>
    </row>
    <row r="43">
      <c r="A43" s="1" t="s">
        <v>577</v>
      </c>
      <c r="B43" s="1" t="s">
        <v>578</v>
      </c>
      <c r="C43" s="1" t="s">
        <v>55</v>
      </c>
      <c r="D43" s="1" t="s">
        <v>57</v>
      </c>
      <c r="E43" s="1" t="s">
        <v>491</v>
      </c>
      <c r="F43" s="6">
        <v>46170.0</v>
      </c>
      <c r="G43" s="1" t="s">
        <v>580</v>
      </c>
      <c r="H43" s="1" t="s">
        <v>581</v>
      </c>
      <c r="M43" s="1" t="s">
        <v>582</v>
      </c>
      <c r="N43" s="1" t="s">
        <v>62</v>
      </c>
      <c r="O43" s="1" t="s">
        <v>583</v>
      </c>
      <c r="P43" s="1" t="s">
        <v>584</v>
      </c>
      <c r="Q43" s="6">
        <v>46170.0</v>
      </c>
      <c r="R43" s="1" t="s">
        <v>463</v>
      </c>
      <c r="S43" s="6">
        <v>46174.0</v>
      </c>
    </row>
    <row r="44">
      <c r="A44" s="1" t="s">
        <v>585</v>
      </c>
      <c r="B44" s="1" t="s">
        <v>261</v>
      </c>
      <c r="C44" s="1" t="s">
        <v>20</v>
      </c>
      <c r="D44" s="1" t="s">
        <v>40</v>
      </c>
      <c r="E44" s="1" t="s">
        <v>491</v>
      </c>
      <c r="F44" s="6">
        <v>46177.0</v>
      </c>
      <c r="G44" s="1" t="s">
        <v>586</v>
      </c>
      <c r="H44" s="1" t="s">
        <v>587</v>
      </c>
      <c r="M44" s="1" t="s">
        <v>588</v>
      </c>
      <c r="N44" s="1" t="s">
        <v>89</v>
      </c>
      <c r="O44" s="1" t="s">
        <v>280</v>
      </c>
      <c r="P44" s="1"/>
      <c r="Q44" s="6">
        <v>46177.0</v>
      </c>
      <c r="R44" s="1" t="s">
        <v>281</v>
      </c>
    </row>
    <row r="45">
      <c r="A45" s="1" t="s">
        <v>589</v>
      </c>
      <c r="B45" s="1" t="s">
        <v>261</v>
      </c>
      <c r="C45" s="1" t="s">
        <v>298</v>
      </c>
      <c r="D45" s="1" t="s">
        <v>62</v>
      </c>
      <c r="E45" s="1" t="s">
        <v>63</v>
      </c>
      <c r="F45" s="6">
        <v>46174.0</v>
      </c>
      <c r="G45" s="1" t="s">
        <v>590</v>
      </c>
      <c r="H45" s="1" t="s">
        <v>591</v>
      </c>
      <c r="I45" s="1" t="s">
        <v>592</v>
      </c>
      <c r="M45" s="1" t="s">
        <v>593</v>
      </c>
      <c r="N45" s="1" t="s">
        <v>89</v>
      </c>
      <c r="O45" s="1" t="s">
        <v>280</v>
      </c>
      <c r="P45" s="1"/>
      <c r="Q45" s="6">
        <v>46174.0</v>
      </c>
      <c r="R45" s="1" t="s">
        <v>281</v>
      </c>
    </row>
    <row r="46">
      <c r="A46" s="1" t="s">
        <v>594</v>
      </c>
      <c r="B46" s="1" t="s">
        <v>261</v>
      </c>
      <c r="C46" s="1" t="s">
        <v>67</v>
      </c>
      <c r="D46" s="1" t="s">
        <v>69</v>
      </c>
      <c r="E46" s="1" t="s">
        <v>63</v>
      </c>
      <c r="F46" s="6">
        <v>46177.0</v>
      </c>
      <c r="G46" s="1" t="s">
        <v>595</v>
      </c>
      <c r="H46" s="1" t="s">
        <v>596</v>
      </c>
      <c r="I46" s="1" t="s">
        <v>597</v>
      </c>
      <c r="M46" s="1" t="s">
        <v>598</v>
      </c>
      <c r="N46" s="1" t="s">
        <v>89</v>
      </c>
      <c r="O46" s="1" t="s">
        <v>280</v>
      </c>
      <c r="P46" s="1"/>
      <c r="Q46" s="6">
        <v>46177.0</v>
      </c>
      <c r="R46" s="1" t="s">
        <v>281</v>
      </c>
    </row>
    <row r="47">
      <c r="A47" s="1" t="s">
        <v>599</v>
      </c>
      <c r="B47" s="1" t="s">
        <v>261</v>
      </c>
      <c r="C47" s="1" t="s">
        <v>67</v>
      </c>
      <c r="D47" s="1" t="s">
        <v>69</v>
      </c>
      <c r="E47" s="1" t="s">
        <v>63</v>
      </c>
      <c r="F47" s="6">
        <v>46183.0</v>
      </c>
      <c r="G47" s="1" t="s">
        <v>600</v>
      </c>
      <c r="H47" s="1" t="s">
        <v>601</v>
      </c>
      <c r="M47" s="1" t="s">
        <v>602</v>
      </c>
      <c r="N47" s="1" t="s">
        <v>89</v>
      </c>
      <c r="O47" s="1" t="s">
        <v>280</v>
      </c>
      <c r="P47" s="1"/>
      <c r="Q47" s="6">
        <v>46183.0</v>
      </c>
      <c r="R47" s="1" t="s">
        <v>281</v>
      </c>
    </row>
    <row r="48">
      <c r="A48" s="1" t="s">
        <v>605</v>
      </c>
      <c r="B48" s="1" t="s">
        <v>261</v>
      </c>
      <c r="C48" s="1" t="s">
        <v>55</v>
      </c>
      <c r="D48" s="1" t="s">
        <v>57</v>
      </c>
      <c r="E48" s="1" t="s">
        <v>491</v>
      </c>
      <c r="F48" s="6">
        <v>46182.0</v>
      </c>
      <c r="G48" s="1" t="s">
        <v>608</v>
      </c>
      <c r="H48" s="1" t="s">
        <v>609</v>
      </c>
      <c r="M48" s="1" t="s">
        <v>610</v>
      </c>
      <c r="N48" s="1" t="s">
        <v>89</v>
      </c>
      <c r="O48" s="1" t="s">
        <v>280</v>
      </c>
      <c r="P48" s="1"/>
      <c r="Q48" s="6">
        <v>46182.0</v>
      </c>
      <c r="R48" s="1" t="s">
        <v>281</v>
      </c>
    </row>
    <row r="49">
      <c r="A49" s="1" t="s">
        <v>612</v>
      </c>
      <c r="B49" s="1" t="s">
        <v>261</v>
      </c>
      <c r="C49" s="1" t="s">
        <v>55</v>
      </c>
      <c r="D49" s="1" t="s">
        <v>57</v>
      </c>
      <c r="E49" s="1" t="s">
        <v>491</v>
      </c>
      <c r="F49" s="6">
        <v>46191.0</v>
      </c>
      <c r="G49" s="1" t="s">
        <v>614</v>
      </c>
      <c r="H49" s="1" t="s">
        <v>615</v>
      </c>
      <c r="M49" s="1" t="s">
        <v>616</v>
      </c>
      <c r="N49" s="1" t="s">
        <v>89</v>
      </c>
      <c r="O49" s="1" t="s">
        <v>280</v>
      </c>
      <c r="P49" s="1"/>
      <c r="Q49" s="6">
        <v>46191.0</v>
      </c>
      <c r="R49" s="1" t="s">
        <v>281</v>
      </c>
    </row>
    <row r="50">
      <c r="A50" s="1" t="s">
        <v>617</v>
      </c>
      <c r="B50" s="1" t="s">
        <v>261</v>
      </c>
      <c r="C50" s="1" t="s">
        <v>67</v>
      </c>
      <c r="D50" s="1" t="s">
        <v>69</v>
      </c>
      <c r="E50" s="1" t="s">
        <v>491</v>
      </c>
      <c r="F50" s="6">
        <v>46191.0</v>
      </c>
      <c r="G50" s="1" t="s">
        <v>619</v>
      </c>
      <c r="H50" s="1" t="s">
        <v>620</v>
      </c>
      <c r="I50" s="1" t="s">
        <v>622</v>
      </c>
      <c r="M50" s="1" t="s">
        <v>623</v>
      </c>
      <c r="N50" s="1" t="s">
        <v>89</v>
      </c>
      <c r="O50" s="1" t="s">
        <v>280</v>
      </c>
      <c r="P50" s="1"/>
      <c r="Q50" s="6">
        <v>46191.0</v>
      </c>
      <c r="R50" s="1" t="s">
        <v>281</v>
      </c>
    </row>
    <row r="51">
      <c r="A51" s="1" t="s">
        <v>624</v>
      </c>
      <c r="B51" s="1" t="s">
        <v>261</v>
      </c>
      <c r="C51" s="1" t="s">
        <v>20</v>
      </c>
      <c r="D51" s="1" t="s">
        <v>40</v>
      </c>
      <c r="E51" s="1" t="s">
        <v>491</v>
      </c>
      <c r="F51" s="6">
        <v>46202.0</v>
      </c>
      <c r="G51" s="1" t="s">
        <v>626</v>
      </c>
      <c r="H51" s="1" t="s">
        <v>627</v>
      </c>
      <c r="M51" s="1" t="s">
        <v>628</v>
      </c>
      <c r="N51" s="1" t="s">
        <v>89</v>
      </c>
      <c r="O51" s="1" t="s">
        <v>280</v>
      </c>
      <c r="P51" s="1"/>
      <c r="Q51" s="6">
        <v>46202.0</v>
      </c>
      <c r="R51" s="1" t="s">
        <v>281</v>
      </c>
    </row>
    <row r="52">
      <c r="A52" s="1" t="s">
        <v>629</v>
      </c>
      <c r="B52" s="1" t="s">
        <v>261</v>
      </c>
      <c r="C52" s="1" t="s">
        <v>67</v>
      </c>
      <c r="D52" s="1" t="s">
        <v>69</v>
      </c>
      <c r="E52" s="1" t="s">
        <v>491</v>
      </c>
      <c r="F52" s="6">
        <v>46191.0</v>
      </c>
      <c r="G52" s="1" t="s">
        <v>631</v>
      </c>
      <c r="H52" s="1" t="s">
        <v>633</v>
      </c>
      <c r="I52" s="1" t="s">
        <v>634</v>
      </c>
      <c r="M52" s="1" t="s">
        <v>635</v>
      </c>
      <c r="N52" s="1" t="s">
        <v>89</v>
      </c>
      <c r="O52" s="1" t="s">
        <v>280</v>
      </c>
      <c r="P52" s="1"/>
      <c r="Q52" s="6">
        <v>46191.0</v>
      </c>
      <c r="R52" s="1" t="s">
        <v>281</v>
      </c>
    </row>
    <row r="53">
      <c r="A53" s="1" t="s">
        <v>636</v>
      </c>
      <c r="B53" s="1" t="s">
        <v>261</v>
      </c>
      <c r="C53" s="1" t="s">
        <v>100</v>
      </c>
      <c r="D53" s="1" t="s">
        <v>50</v>
      </c>
      <c r="E53" s="1" t="s">
        <v>491</v>
      </c>
      <c r="F53" s="6">
        <v>46196.0</v>
      </c>
      <c r="G53" s="1" t="s">
        <v>637</v>
      </c>
      <c r="H53" s="1" t="s">
        <v>638</v>
      </c>
      <c r="I53" s="1" t="s">
        <v>639</v>
      </c>
      <c r="M53" s="1" t="s">
        <v>640</v>
      </c>
      <c r="N53" s="1" t="s">
        <v>89</v>
      </c>
      <c r="O53" s="1" t="s">
        <v>280</v>
      </c>
      <c r="P53" s="1"/>
      <c r="Q53" s="6">
        <v>46196.0</v>
      </c>
      <c r="R53" s="1" t="s">
        <v>281</v>
      </c>
    </row>
    <row r="54">
      <c r="A54" s="1" t="s">
        <v>641</v>
      </c>
      <c r="B54" s="1" t="s">
        <v>261</v>
      </c>
      <c r="C54" s="1" t="s">
        <v>125</v>
      </c>
      <c r="D54" s="1" t="s">
        <v>128</v>
      </c>
      <c r="E54" s="1" t="s">
        <v>127</v>
      </c>
      <c r="F54" s="6">
        <v>46202.0</v>
      </c>
      <c r="G54" s="1" t="s">
        <v>642</v>
      </c>
      <c r="H54" s="1" t="s">
        <v>643</v>
      </c>
      <c r="M54" s="1" t="s">
        <v>644</v>
      </c>
      <c r="N54" s="1" t="s">
        <v>89</v>
      </c>
      <c r="O54" s="1" t="s">
        <v>280</v>
      </c>
      <c r="P54" s="1"/>
      <c r="Q54" s="6">
        <v>46202.0</v>
      </c>
      <c r="R54" s="1" t="s">
        <v>281</v>
      </c>
    </row>
    <row r="55">
      <c r="A55" s="1" t="s">
        <v>645</v>
      </c>
      <c r="B55" s="1" t="s">
        <v>261</v>
      </c>
      <c r="C55" s="1" t="s">
        <v>131</v>
      </c>
      <c r="D55" s="1" t="s">
        <v>134</v>
      </c>
      <c r="E55" s="1" t="s">
        <v>133</v>
      </c>
      <c r="F55" s="6">
        <v>46203.0</v>
      </c>
      <c r="G55" s="1" t="s">
        <v>646</v>
      </c>
      <c r="H55" s="1" t="s">
        <v>647</v>
      </c>
      <c r="M55" s="1" t="s">
        <v>648</v>
      </c>
      <c r="N55" s="1" t="s">
        <v>89</v>
      </c>
      <c r="O55" s="1" t="s">
        <v>280</v>
      </c>
      <c r="P55" s="1"/>
      <c r="Q55" s="6">
        <v>46203.0</v>
      </c>
      <c r="R55" s="1" t="s">
        <v>281</v>
      </c>
    </row>
    <row r="56">
      <c r="A56" s="1" t="s">
        <v>649</v>
      </c>
      <c r="B56" s="1" t="s">
        <v>261</v>
      </c>
      <c r="C56" s="1" t="s">
        <v>67</v>
      </c>
      <c r="D56" s="1" t="s">
        <v>69</v>
      </c>
      <c r="E56" s="1" t="s">
        <v>63</v>
      </c>
      <c r="F56" s="6">
        <v>46209.0</v>
      </c>
      <c r="G56" s="1" t="s">
        <v>650</v>
      </c>
      <c r="H56" s="1" t="s">
        <v>651</v>
      </c>
      <c r="K56" s="1" t="s">
        <v>652</v>
      </c>
      <c r="M56" s="1" t="s">
        <v>653</v>
      </c>
      <c r="N56" s="1" t="s">
        <v>89</v>
      </c>
      <c r="O56" s="1" t="s">
        <v>280</v>
      </c>
      <c r="P56" s="1" t="s">
        <v>652</v>
      </c>
      <c r="Q56" s="6">
        <v>46209.0</v>
      </c>
      <c r="R56" s="1" t="s">
        <v>281</v>
      </c>
    </row>
    <row r="57">
      <c r="A57" s="1" t="s">
        <v>654</v>
      </c>
      <c r="B57" s="1" t="s">
        <v>261</v>
      </c>
      <c r="C57" s="1" t="s">
        <v>67</v>
      </c>
      <c r="D57" s="1" t="s">
        <v>69</v>
      </c>
      <c r="E57" s="1" t="s">
        <v>63</v>
      </c>
      <c r="F57" s="6">
        <v>46209.0</v>
      </c>
      <c r="G57" s="1" t="s">
        <v>655</v>
      </c>
      <c r="H57" s="1" t="s">
        <v>656</v>
      </c>
      <c r="K57" s="1" t="s">
        <v>652</v>
      </c>
      <c r="M57" s="1" t="s">
        <v>657</v>
      </c>
      <c r="N57" s="1" t="s">
        <v>89</v>
      </c>
      <c r="O57" s="1" t="s">
        <v>280</v>
      </c>
      <c r="P57" s="1" t="s">
        <v>652</v>
      </c>
      <c r="Q57" s="6">
        <v>46209.0</v>
      </c>
      <c r="R57" s="1" t="s">
        <v>281</v>
      </c>
    </row>
    <row r="58">
      <c r="A58" s="1" t="s">
        <v>658</v>
      </c>
      <c r="B58" s="1" t="s">
        <v>261</v>
      </c>
      <c r="C58" s="1" t="s">
        <v>131</v>
      </c>
      <c r="D58" s="1" t="s">
        <v>134</v>
      </c>
      <c r="E58" s="1" t="s">
        <v>133</v>
      </c>
      <c r="F58" s="6">
        <v>46241.0</v>
      </c>
      <c r="G58" s="1" t="s">
        <v>659</v>
      </c>
      <c r="H58" s="1" t="s">
        <v>660</v>
      </c>
      <c r="K58" s="1" t="s">
        <v>652</v>
      </c>
      <c r="M58" s="1" t="s">
        <v>661</v>
      </c>
      <c r="N58" s="1" t="s">
        <v>89</v>
      </c>
      <c r="O58" s="1" t="s">
        <v>280</v>
      </c>
      <c r="P58" s="1" t="s">
        <v>652</v>
      </c>
      <c r="Q58" s="6">
        <v>46211.0</v>
      </c>
      <c r="R58" s="1" t="s">
        <v>281</v>
      </c>
      <c r="S58" s="6">
        <v>46211.0</v>
      </c>
    </row>
    <row r="59">
      <c r="A59" s="1" t="s">
        <v>662</v>
      </c>
      <c r="B59" s="1" t="s">
        <v>261</v>
      </c>
      <c r="C59" s="1" t="s">
        <v>131</v>
      </c>
      <c r="D59" s="1" t="s">
        <v>134</v>
      </c>
      <c r="E59" s="1" t="s">
        <v>133</v>
      </c>
      <c r="F59" s="6">
        <v>46213.0</v>
      </c>
      <c r="G59" s="1" t="s">
        <v>663</v>
      </c>
      <c r="H59" s="1" t="s">
        <v>664</v>
      </c>
      <c r="K59" s="1" t="s">
        <v>652</v>
      </c>
      <c r="M59" s="1" t="s">
        <v>665</v>
      </c>
      <c r="N59" s="1" t="s">
        <v>89</v>
      </c>
      <c r="O59" s="1" t="s">
        <v>280</v>
      </c>
      <c r="P59" s="1" t="s">
        <v>652</v>
      </c>
      <c r="Q59" s="6">
        <v>46213.0</v>
      </c>
      <c r="R59" s="1" t="s">
        <v>281</v>
      </c>
      <c r="S59" s="6">
        <v>46213.0</v>
      </c>
    </row>
    <row r="60">
      <c r="A60" s="1" t="s">
        <v>666</v>
      </c>
      <c r="B60" s="1" t="s">
        <v>261</v>
      </c>
      <c r="C60" s="1" t="s">
        <v>667</v>
      </c>
      <c r="D60" s="1" t="s">
        <v>112</v>
      </c>
      <c r="E60" s="1" t="s">
        <v>50</v>
      </c>
      <c r="F60" s="6">
        <v>46219.0</v>
      </c>
      <c r="G60" s="1" t="s">
        <v>554</v>
      </c>
      <c r="H60" s="1" t="s">
        <v>668</v>
      </c>
      <c r="M60" s="1" t="s">
        <v>669</v>
      </c>
      <c r="N60" s="1" t="s">
        <v>89</v>
      </c>
      <c r="O60" s="1" t="s">
        <v>280</v>
      </c>
      <c r="P60" s="1"/>
      <c r="Q60" s="6">
        <v>46219.0</v>
      </c>
      <c r="R60" s="1" t="s">
        <v>671</v>
      </c>
    </row>
    <row r="61">
      <c r="A61" s="1" t="s">
        <v>672</v>
      </c>
      <c r="B61" s="1" t="s">
        <v>261</v>
      </c>
      <c r="C61" s="1" t="s">
        <v>67</v>
      </c>
      <c r="D61" s="1" t="s">
        <v>69</v>
      </c>
      <c r="E61" s="1" t="s">
        <v>491</v>
      </c>
      <c r="F61" s="6">
        <v>46219.0</v>
      </c>
      <c r="G61" s="1" t="s">
        <v>673</v>
      </c>
      <c r="H61" s="1" t="s">
        <v>674</v>
      </c>
      <c r="M61" s="1" t="s">
        <v>675</v>
      </c>
      <c r="N61" s="1" t="s">
        <v>89</v>
      </c>
      <c r="O61" s="1" t="s">
        <v>280</v>
      </c>
      <c r="P61" s="1"/>
      <c r="Q61" s="6">
        <v>46219.0</v>
      </c>
      <c r="R61" s="1" t="s">
        <v>281</v>
      </c>
    </row>
    <row r="62">
      <c r="A62" s="1" t="s">
        <v>676</v>
      </c>
      <c r="B62" s="1" t="s">
        <v>261</v>
      </c>
      <c r="C62" s="1" t="s">
        <v>67</v>
      </c>
      <c r="D62" s="1" t="s">
        <v>69</v>
      </c>
      <c r="E62" s="1" t="s">
        <v>63</v>
      </c>
      <c r="F62" s="6">
        <v>46230.0</v>
      </c>
      <c r="G62" s="1" t="s">
        <v>677</v>
      </c>
      <c r="H62" s="1" t="s">
        <v>678</v>
      </c>
      <c r="I62" s="1" t="s">
        <v>679</v>
      </c>
      <c r="K62" s="1" t="s">
        <v>652</v>
      </c>
      <c r="M62" s="1" t="s">
        <v>680</v>
      </c>
      <c r="N62" s="1" t="s">
        <v>89</v>
      </c>
      <c r="O62" s="1" t="s">
        <v>280</v>
      </c>
      <c r="P62" s="1" t="s">
        <v>652</v>
      </c>
      <c r="Q62" s="6">
        <v>46230.0</v>
      </c>
      <c r="R62" s="1" t="s">
        <v>281</v>
      </c>
    </row>
    <row r="63">
      <c r="A63" s="1" t="s">
        <v>682</v>
      </c>
      <c r="B63" s="1" t="s">
        <v>261</v>
      </c>
      <c r="C63" s="1" t="s">
        <v>125</v>
      </c>
      <c r="D63" s="1" t="s">
        <v>128</v>
      </c>
      <c r="E63" s="1" t="s">
        <v>127</v>
      </c>
      <c r="F63" s="6">
        <v>46232.0</v>
      </c>
      <c r="G63" s="1" t="s">
        <v>683</v>
      </c>
      <c r="H63" s="1" t="s">
        <v>684</v>
      </c>
      <c r="M63" s="1" t="s">
        <v>685</v>
      </c>
      <c r="N63" s="1" t="s">
        <v>89</v>
      </c>
      <c r="O63" s="1" t="s">
        <v>280</v>
      </c>
      <c r="P63" s="1"/>
      <c r="Q63" s="6">
        <v>46232.0</v>
      </c>
      <c r="R63" s="1" t="s">
        <v>281</v>
      </c>
    </row>
    <row r="64">
      <c r="A64" s="1" t="s">
        <v>686</v>
      </c>
      <c r="B64" s="1" t="s">
        <v>687</v>
      </c>
      <c r="C64" s="1" t="s">
        <v>131</v>
      </c>
      <c r="D64" s="1" t="s">
        <v>134</v>
      </c>
      <c r="E64" s="1" t="s">
        <v>133</v>
      </c>
      <c r="F64" s="6">
        <v>46233.0</v>
      </c>
      <c r="G64" s="1" t="s">
        <v>688</v>
      </c>
      <c r="H64" s="1" t="s">
        <v>689</v>
      </c>
      <c r="M64" s="1" t="s">
        <v>690</v>
      </c>
      <c r="N64" s="1" t="s">
        <v>134</v>
      </c>
      <c r="O64" s="1" t="s">
        <v>691</v>
      </c>
      <c r="P64" s="1" t="s">
        <v>692</v>
      </c>
      <c r="R64" s="1" t="s">
        <v>281</v>
      </c>
    </row>
    <row r="65">
      <c r="A65" s="1" t="s">
        <v>693</v>
      </c>
      <c r="B65" s="1" t="s">
        <v>261</v>
      </c>
      <c r="C65" s="1" t="s">
        <v>20</v>
      </c>
      <c r="D65" s="1" t="s">
        <v>40</v>
      </c>
      <c r="E65" s="1" t="s">
        <v>491</v>
      </c>
      <c r="F65" s="6">
        <v>46237.0</v>
      </c>
      <c r="G65" s="1" t="s">
        <v>694</v>
      </c>
      <c r="H65" s="1" t="s">
        <v>695</v>
      </c>
      <c r="M65" s="1" t="s">
        <v>696</v>
      </c>
      <c r="N65" s="1" t="s">
        <v>89</v>
      </c>
      <c r="O65" s="1" t="s">
        <v>280</v>
      </c>
      <c r="P65" s="1"/>
      <c r="Q65" s="6">
        <v>46237.0</v>
      </c>
      <c r="R65" s="1" t="s">
        <v>281</v>
      </c>
    </row>
    <row r="66">
      <c r="A66" s="1" t="s">
        <v>697</v>
      </c>
      <c r="B66" s="1" t="s">
        <v>261</v>
      </c>
      <c r="C66" s="1" t="s">
        <v>67</v>
      </c>
      <c r="D66" s="1" t="s">
        <v>69</v>
      </c>
      <c r="E66" s="1" t="s">
        <v>63</v>
      </c>
      <c r="F66" s="6">
        <v>46239.0</v>
      </c>
      <c r="G66" s="1" t="s">
        <v>698</v>
      </c>
      <c r="H66" s="1" t="s">
        <v>699</v>
      </c>
      <c r="M66" s="1" t="s">
        <v>700</v>
      </c>
      <c r="N66" s="1" t="s">
        <v>89</v>
      </c>
      <c r="O66" s="1" t="s">
        <v>280</v>
      </c>
      <c r="P66" s="1"/>
      <c r="Q66" s="6">
        <v>46239.0</v>
      </c>
      <c r="R66" s="1" t="s">
        <v>281</v>
      </c>
    </row>
    <row r="67">
      <c r="A67" s="1" t="s">
        <v>701</v>
      </c>
      <c r="B67" s="1" t="s">
        <v>261</v>
      </c>
      <c r="C67" s="1" t="s">
        <v>67</v>
      </c>
      <c r="D67" s="1" t="s">
        <v>69</v>
      </c>
      <c r="E67" s="1" t="s">
        <v>63</v>
      </c>
      <c r="F67" s="6">
        <v>46239.0</v>
      </c>
      <c r="G67" s="1" t="s">
        <v>698</v>
      </c>
      <c r="H67" s="1" t="s">
        <v>702</v>
      </c>
      <c r="M67" s="1" t="s">
        <v>703</v>
      </c>
      <c r="N67" s="1" t="s">
        <v>89</v>
      </c>
      <c r="O67" s="1" t="s">
        <v>280</v>
      </c>
      <c r="P67" s="1"/>
      <c r="Q67" s="6">
        <v>46239.0</v>
      </c>
      <c r="R67" s="1" t="s">
        <v>281</v>
      </c>
    </row>
    <row r="68">
      <c r="A68" s="1" t="s">
        <v>704</v>
      </c>
      <c r="B68" s="1" t="s">
        <v>261</v>
      </c>
      <c r="C68" s="1" t="s">
        <v>20</v>
      </c>
      <c r="D68" s="1" t="s">
        <v>40</v>
      </c>
      <c r="E68" s="1" t="s">
        <v>491</v>
      </c>
      <c r="F68" s="6">
        <v>46240.0</v>
      </c>
      <c r="G68" s="1" t="s">
        <v>706</v>
      </c>
      <c r="H68" s="1" t="s">
        <v>707</v>
      </c>
      <c r="I68" s="1" t="s">
        <v>709</v>
      </c>
      <c r="M68" s="1" t="s">
        <v>710</v>
      </c>
      <c r="N68" s="1" t="s">
        <v>89</v>
      </c>
      <c r="O68" s="1" t="s">
        <v>280</v>
      </c>
      <c r="P68" s="1"/>
      <c r="Q68" s="6">
        <v>46240.0</v>
      </c>
      <c r="R68" s="1" t="s">
        <v>281</v>
      </c>
    </row>
    <row r="69">
      <c r="A69" s="1" t="s">
        <v>711</v>
      </c>
      <c r="B69" s="1" t="s">
        <v>261</v>
      </c>
      <c r="C69" s="1" t="s">
        <v>667</v>
      </c>
      <c r="D69" s="1" t="s">
        <v>112</v>
      </c>
      <c r="E69" s="1" t="s">
        <v>50</v>
      </c>
      <c r="F69" s="6">
        <v>46240.0</v>
      </c>
      <c r="G69" s="1" t="s">
        <v>712</v>
      </c>
      <c r="H69" s="1" t="s">
        <v>713</v>
      </c>
      <c r="M69" s="1" t="s">
        <v>715</v>
      </c>
      <c r="N69" s="1" t="s">
        <v>89</v>
      </c>
      <c r="O69" s="1" t="s">
        <v>280</v>
      </c>
      <c r="P69" s="1"/>
      <c r="Q69" s="6">
        <v>46240.0</v>
      </c>
      <c r="R69" s="1" t="s">
        <v>671</v>
      </c>
    </row>
    <row r="70">
      <c r="A70" s="1" t="s">
        <v>716</v>
      </c>
      <c r="B70" s="1" t="s">
        <v>261</v>
      </c>
      <c r="C70" s="1" t="s">
        <v>67</v>
      </c>
      <c r="D70" s="1" t="s">
        <v>69</v>
      </c>
      <c r="E70" s="1" t="s">
        <v>63</v>
      </c>
      <c r="F70" s="6">
        <v>46241.0</v>
      </c>
      <c r="G70" s="1" t="s">
        <v>717</v>
      </c>
      <c r="H70" s="1" t="s">
        <v>718</v>
      </c>
      <c r="I70" s="1" t="s">
        <v>719</v>
      </c>
      <c r="M70" s="1" t="s">
        <v>720</v>
      </c>
      <c r="N70" s="1" t="s">
        <v>89</v>
      </c>
      <c r="O70" s="1" t="s">
        <v>280</v>
      </c>
      <c r="P70" s="1"/>
      <c r="Q70" s="6">
        <v>46241.0</v>
      </c>
      <c r="R70" s="1" t="s">
        <v>281</v>
      </c>
    </row>
    <row r="71">
      <c r="A71" s="1" t="s">
        <v>721</v>
      </c>
      <c r="B71" s="1" t="s">
        <v>261</v>
      </c>
      <c r="C71" s="1" t="s">
        <v>20</v>
      </c>
      <c r="D71" s="1" t="s">
        <v>40</v>
      </c>
      <c r="E71" s="1" t="s">
        <v>491</v>
      </c>
      <c r="F71" s="6">
        <v>46251.0</v>
      </c>
      <c r="G71" s="1" t="s">
        <v>722</v>
      </c>
      <c r="H71" s="1" t="s">
        <v>723</v>
      </c>
      <c r="M71" s="1" t="s">
        <v>724</v>
      </c>
      <c r="N71" s="1" t="s">
        <v>89</v>
      </c>
      <c r="O71" s="1" t="s">
        <v>280</v>
      </c>
      <c r="P71" s="1"/>
      <c r="Q71" s="6">
        <v>46251.0</v>
      </c>
      <c r="R71" s="1" t="s">
        <v>281</v>
      </c>
    </row>
    <row r="72">
      <c r="A72" s="1" t="s">
        <v>725</v>
      </c>
      <c r="B72" s="1" t="s">
        <v>261</v>
      </c>
      <c r="C72" s="1" t="s">
        <v>20</v>
      </c>
      <c r="D72" s="1" t="s">
        <v>40</v>
      </c>
      <c r="E72" s="1" t="s">
        <v>491</v>
      </c>
      <c r="F72" s="6">
        <v>46266.0</v>
      </c>
      <c r="G72" s="1" t="s">
        <v>726</v>
      </c>
      <c r="H72" s="1" t="s">
        <v>727</v>
      </c>
      <c r="M72" s="1" t="s">
        <v>728</v>
      </c>
      <c r="N72" s="1" t="s">
        <v>89</v>
      </c>
      <c r="O72" s="1" t="s">
        <v>280</v>
      </c>
      <c r="P72" s="1"/>
      <c r="Q72" s="6">
        <v>46266.0</v>
      </c>
      <c r="R72" s="1" t="s">
        <v>281</v>
      </c>
    </row>
    <row r="73">
      <c r="A73" s="1" t="s">
        <v>730</v>
      </c>
      <c r="B73" s="1" t="s">
        <v>261</v>
      </c>
      <c r="C73" s="1" t="s">
        <v>67</v>
      </c>
      <c r="D73" s="1" t="s">
        <v>69</v>
      </c>
      <c r="E73" s="1" t="s">
        <v>63</v>
      </c>
      <c r="F73" s="6">
        <v>46245.0</v>
      </c>
      <c r="G73" s="1" t="s">
        <v>732</v>
      </c>
      <c r="H73" s="1" t="s">
        <v>733</v>
      </c>
      <c r="M73" s="1" t="s">
        <v>734</v>
      </c>
      <c r="N73" s="1" t="s">
        <v>89</v>
      </c>
      <c r="O73" s="1" t="s">
        <v>280</v>
      </c>
      <c r="P73" s="1"/>
      <c r="Q73" s="6">
        <v>46245.0</v>
      </c>
      <c r="R73" s="1" t="s">
        <v>281</v>
      </c>
    </row>
    <row r="74">
      <c r="A74" s="1" t="s">
        <v>735</v>
      </c>
      <c r="B74" s="1" t="s">
        <v>261</v>
      </c>
      <c r="C74" s="1" t="s">
        <v>67</v>
      </c>
      <c r="D74" s="1" t="s">
        <v>69</v>
      </c>
      <c r="E74" s="1" t="s">
        <v>63</v>
      </c>
      <c r="F74" s="6">
        <v>46245.0</v>
      </c>
      <c r="G74" s="1" t="s">
        <v>736</v>
      </c>
      <c r="H74" s="1" t="s">
        <v>737</v>
      </c>
      <c r="M74" s="1" t="s">
        <v>738</v>
      </c>
      <c r="N74" s="1" t="s">
        <v>89</v>
      </c>
      <c r="O74" s="1" t="s">
        <v>280</v>
      </c>
      <c r="P74" s="1"/>
      <c r="Q74" s="6">
        <v>46245.0</v>
      </c>
      <c r="R74" s="1" t="s">
        <v>281</v>
      </c>
    </row>
    <row r="75">
      <c r="A75" s="1" t="s">
        <v>739</v>
      </c>
      <c r="B75" s="1" t="s">
        <v>261</v>
      </c>
      <c r="C75" s="1" t="s">
        <v>125</v>
      </c>
      <c r="D75" s="1" t="s">
        <v>128</v>
      </c>
      <c r="E75" s="1" t="s">
        <v>127</v>
      </c>
      <c r="F75" s="6">
        <v>46253.0</v>
      </c>
      <c r="G75" s="1" t="s">
        <v>740</v>
      </c>
      <c r="H75" s="1" t="s">
        <v>741</v>
      </c>
      <c r="I75" s="1" t="s">
        <v>742</v>
      </c>
      <c r="M75" s="1" t="s">
        <v>743</v>
      </c>
      <c r="N75" s="1" t="s">
        <v>89</v>
      </c>
      <c r="O75" s="1" t="s">
        <v>280</v>
      </c>
      <c r="P75" s="1"/>
      <c r="Q75" s="6">
        <v>46253.0</v>
      </c>
      <c r="R75" s="1" t="s">
        <v>281</v>
      </c>
    </row>
    <row r="76">
      <c r="A76" s="1" t="s">
        <v>744</v>
      </c>
      <c r="B76" s="1" t="s">
        <v>261</v>
      </c>
      <c r="C76" s="1" t="s">
        <v>67</v>
      </c>
      <c r="D76" s="1" t="s">
        <v>69</v>
      </c>
      <c r="E76" s="1" t="s">
        <v>491</v>
      </c>
      <c r="F76" s="6">
        <v>46252.0</v>
      </c>
      <c r="G76" s="1" t="s">
        <v>747</v>
      </c>
      <c r="H76" s="1" t="s">
        <v>748</v>
      </c>
      <c r="M76" s="1" t="s">
        <v>750</v>
      </c>
      <c r="N76" s="1" t="s">
        <v>89</v>
      </c>
      <c r="O76" s="1" t="s">
        <v>280</v>
      </c>
      <c r="P76" s="1"/>
      <c r="Q76" s="6">
        <v>46252.0</v>
      </c>
      <c r="R76" s="1" t="s">
        <v>281</v>
      </c>
    </row>
    <row r="77">
      <c r="A77" s="1" t="s">
        <v>751</v>
      </c>
      <c r="B77" s="1" t="s">
        <v>261</v>
      </c>
      <c r="C77" s="1" t="s">
        <v>55</v>
      </c>
      <c r="D77" s="1" t="s">
        <v>57</v>
      </c>
      <c r="E77" s="1" t="s">
        <v>491</v>
      </c>
      <c r="F77" s="6">
        <v>46259.0</v>
      </c>
      <c r="G77" s="1" t="s">
        <v>753</v>
      </c>
      <c r="H77" s="1" t="s">
        <v>754</v>
      </c>
      <c r="M77" s="1" t="s">
        <v>755</v>
      </c>
      <c r="N77" s="1" t="s">
        <v>89</v>
      </c>
      <c r="O77" s="1" t="s">
        <v>280</v>
      </c>
      <c r="P77" s="1"/>
      <c r="Q77" s="6">
        <v>46259.0</v>
      </c>
      <c r="R77" s="1" t="s">
        <v>281</v>
      </c>
    </row>
    <row r="78">
      <c r="A78" s="1" t="s">
        <v>756</v>
      </c>
      <c r="B78" s="1" t="s">
        <v>261</v>
      </c>
      <c r="C78" s="1" t="s">
        <v>55</v>
      </c>
      <c r="D78" s="1" t="s">
        <v>57</v>
      </c>
      <c r="E78" s="1" t="s">
        <v>491</v>
      </c>
      <c r="F78" s="6">
        <v>46258.0</v>
      </c>
      <c r="G78" s="1" t="s">
        <v>757</v>
      </c>
      <c r="H78" s="1" t="s">
        <v>758</v>
      </c>
      <c r="M78" s="1" t="s">
        <v>759</v>
      </c>
      <c r="N78" s="1" t="s">
        <v>89</v>
      </c>
      <c r="O78" s="1" t="s">
        <v>280</v>
      </c>
      <c r="P78" s="1"/>
      <c r="Q78" s="6">
        <v>46258.0</v>
      </c>
      <c r="R78" s="1" t="s">
        <v>281</v>
      </c>
    </row>
    <row r="79">
      <c r="A79" s="1" t="s">
        <v>760</v>
      </c>
      <c r="B79" s="1" t="s">
        <v>261</v>
      </c>
      <c r="C79" s="1" t="s">
        <v>55</v>
      </c>
      <c r="D79" s="1" t="s">
        <v>57</v>
      </c>
      <c r="E79" s="1" t="s">
        <v>491</v>
      </c>
      <c r="F79" s="6">
        <v>46261.0</v>
      </c>
      <c r="G79" s="1" t="s">
        <v>762</v>
      </c>
      <c r="H79" s="1" t="s">
        <v>763</v>
      </c>
      <c r="M79" s="1" t="s">
        <v>764</v>
      </c>
      <c r="N79" s="1" t="s">
        <v>89</v>
      </c>
      <c r="O79" s="1" t="s">
        <v>280</v>
      </c>
      <c r="P79" s="1"/>
      <c r="Q79" s="6">
        <v>46261.0</v>
      </c>
      <c r="R79" s="1" t="s">
        <v>281</v>
      </c>
    </row>
    <row r="80">
      <c r="A80" s="1" t="s">
        <v>765</v>
      </c>
      <c r="B80" s="1" t="s">
        <v>766</v>
      </c>
      <c r="C80" s="1" t="s">
        <v>20</v>
      </c>
      <c r="D80" s="1" t="s">
        <v>40</v>
      </c>
      <c r="E80" s="1" t="s">
        <v>491</v>
      </c>
      <c r="F80" s="6">
        <v>46261.0</v>
      </c>
      <c r="G80" s="1" t="s">
        <v>768</v>
      </c>
      <c r="H80" s="1" t="s">
        <v>769</v>
      </c>
      <c r="M80" s="1" t="s">
        <v>770</v>
      </c>
      <c r="N80" s="1" t="s">
        <v>62</v>
      </c>
      <c r="O80" s="1" t="s">
        <v>771</v>
      </c>
      <c r="P80" s="1"/>
      <c r="Q80" s="6">
        <v>46261.0</v>
      </c>
      <c r="R80" s="1" t="s">
        <v>281</v>
      </c>
    </row>
    <row r="81">
      <c r="A81" s="1" t="s">
        <v>772</v>
      </c>
      <c r="B81" s="1" t="s">
        <v>766</v>
      </c>
      <c r="C81" s="1" t="s">
        <v>55</v>
      </c>
      <c r="D81" s="1" t="s">
        <v>57</v>
      </c>
      <c r="E81" s="1" t="s">
        <v>491</v>
      </c>
      <c r="F81" s="6">
        <v>46261.0</v>
      </c>
      <c r="G81" s="1" t="s">
        <v>762</v>
      </c>
      <c r="H81" s="1" t="s">
        <v>773</v>
      </c>
      <c r="M81" s="1" t="s">
        <v>774</v>
      </c>
      <c r="N81" s="1" t="s">
        <v>62</v>
      </c>
      <c r="O81" s="1" t="s">
        <v>771</v>
      </c>
      <c r="P81" s="1"/>
      <c r="Q81" s="6">
        <v>46261.0</v>
      </c>
      <c r="R81" s="1" t="s">
        <v>281</v>
      </c>
    </row>
    <row r="82">
      <c r="A82" s="1" t="s">
        <v>775</v>
      </c>
      <c r="B82" s="1" t="s">
        <v>687</v>
      </c>
      <c r="C82" s="1" t="s">
        <v>20</v>
      </c>
      <c r="D82" s="1" t="s">
        <v>40</v>
      </c>
      <c r="E82" s="1" t="s">
        <v>491</v>
      </c>
      <c r="F82" s="6">
        <v>46266.0</v>
      </c>
      <c r="G82" s="1" t="s">
        <v>776</v>
      </c>
      <c r="H82" s="1" t="s">
        <v>777</v>
      </c>
      <c r="M82" s="1" t="s">
        <v>778</v>
      </c>
      <c r="N82" s="1" t="s">
        <v>40</v>
      </c>
      <c r="O82" s="1" t="s">
        <v>691</v>
      </c>
      <c r="P82" s="1" t="s">
        <v>692</v>
      </c>
      <c r="R82" s="1" t="s">
        <v>281</v>
      </c>
    </row>
    <row r="83">
      <c r="A83" s="1" t="s">
        <v>779</v>
      </c>
      <c r="B83" s="1" t="s">
        <v>766</v>
      </c>
      <c r="C83" s="1" t="s">
        <v>20</v>
      </c>
      <c r="D83" s="1" t="s">
        <v>40</v>
      </c>
      <c r="E83" s="1" t="s">
        <v>491</v>
      </c>
      <c r="F83" s="6">
        <v>46266.0</v>
      </c>
      <c r="G83" s="1" t="s">
        <v>781</v>
      </c>
      <c r="H83" s="1" t="s">
        <v>782</v>
      </c>
      <c r="M83" s="1" t="s">
        <v>783</v>
      </c>
      <c r="N83" s="1" t="s">
        <v>62</v>
      </c>
      <c r="O83" s="1" t="s">
        <v>771</v>
      </c>
      <c r="P83" s="1"/>
      <c r="Q83" s="6">
        <v>46266.0</v>
      </c>
      <c r="R83" s="1" t="s">
        <v>281</v>
      </c>
    </row>
    <row r="84">
      <c r="A84" s="1" t="s">
        <v>785</v>
      </c>
      <c r="B84" s="1" t="s">
        <v>786</v>
      </c>
      <c r="C84" s="1" t="s">
        <v>55</v>
      </c>
      <c r="D84" s="1" t="s">
        <v>57</v>
      </c>
      <c r="E84" s="1" t="s">
        <v>491</v>
      </c>
      <c r="F84" s="6">
        <v>46265.0</v>
      </c>
      <c r="G84" s="1" t="s">
        <v>788</v>
      </c>
      <c r="H84" s="1" t="s">
        <v>789</v>
      </c>
      <c r="I84" s="1" t="s">
        <v>790</v>
      </c>
      <c r="M84" s="1" t="s">
        <v>791</v>
      </c>
      <c r="N84" s="1" t="s">
        <v>62</v>
      </c>
      <c r="O84" s="1" t="s">
        <v>790</v>
      </c>
      <c r="P84" s="1" t="s">
        <v>790</v>
      </c>
      <c r="R84" s="1" t="s">
        <v>281</v>
      </c>
    </row>
    <row r="85">
      <c r="A85" s="1" t="s">
        <v>792</v>
      </c>
      <c r="B85" s="1" t="s">
        <v>786</v>
      </c>
      <c r="C85" s="1" t="s">
        <v>55</v>
      </c>
      <c r="D85" s="1" t="s">
        <v>57</v>
      </c>
      <c r="E85" s="1" t="s">
        <v>491</v>
      </c>
      <c r="F85" s="6">
        <v>46265.0</v>
      </c>
      <c r="G85" s="1" t="s">
        <v>788</v>
      </c>
      <c r="H85" s="1" t="s">
        <v>793</v>
      </c>
      <c r="I85" s="1" t="s">
        <v>790</v>
      </c>
      <c r="M85" s="1" t="s">
        <v>794</v>
      </c>
      <c r="N85" s="1" t="s">
        <v>62</v>
      </c>
      <c r="O85" s="1" t="s">
        <v>790</v>
      </c>
      <c r="P85" s="1" t="s">
        <v>790</v>
      </c>
      <c r="R85" s="1" t="s">
        <v>281</v>
      </c>
    </row>
    <row r="86">
      <c r="A86" s="1" t="s">
        <v>795</v>
      </c>
      <c r="B86" s="1" t="s">
        <v>786</v>
      </c>
      <c r="C86" s="1" t="s">
        <v>55</v>
      </c>
      <c r="D86" s="1" t="s">
        <v>57</v>
      </c>
      <c r="E86" s="1" t="s">
        <v>491</v>
      </c>
      <c r="F86" s="6">
        <v>46265.0</v>
      </c>
      <c r="G86" s="1" t="s">
        <v>788</v>
      </c>
      <c r="H86" s="1" t="s">
        <v>796</v>
      </c>
      <c r="I86" s="1" t="s">
        <v>790</v>
      </c>
      <c r="M86" s="1" t="s">
        <v>797</v>
      </c>
      <c r="N86" s="1" t="s">
        <v>62</v>
      </c>
      <c r="O86" s="1" t="s">
        <v>790</v>
      </c>
      <c r="P86" s="1" t="s">
        <v>790</v>
      </c>
      <c r="R86" s="1" t="s">
        <v>281</v>
      </c>
    </row>
    <row r="87">
      <c r="A87" s="1" t="s">
        <v>798</v>
      </c>
      <c r="B87" s="1" t="s">
        <v>786</v>
      </c>
      <c r="C87" s="1" t="s">
        <v>55</v>
      </c>
      <c r="D87" s="1" t="s">
        <v>57</v>
      </c>
      <c r="E87" s="1" t="s">
        <v>491</v>
      </c>
      <c r="F87" s="6">
        <v>46265.0</v>
      </c>
      <c r="G87" s="1" t="s">
        <v>788</v>
      </c>
      <c r="H87" s="1" t="s">
        <v>799</v>
      </c>
      <c r="I87" s="1" t="s">
        <v>790</v>
      </c>
      <c r="M87" s="1" t="s">
        <v>800</v>
      </c>
      <c r="N87" s="1" t="s">
        <v>62</v>
      </c>
      <c r="O87" s="1" t="s">
        <v>790</v>
      </c>
      <c r="P87" s="1" t="s">
        <v>790</v>
      </c>
      <c r="R87" s="1" t="s">
        <v>281</v>
      </c>
    </row>
    <row r="88">
      <c r="A88" s="1" t="s">
        <v>801</v>
      </c>
      <c r="B88" s="1" t="s">
        <v>766</v>
      </c>
      <c r="C88" s="1" t="s">
        <v>55</v>
      </c>
      <c r="D88" s="1" t="s">
        <v>57</v>
      </c>
      <c r="E88" s="1" t="s">
        <v>491</v>
      </c>
      <c r="F88" s="6">
        <v>46265.0</v>
      </c>
      <c r="G88" s="1" t="s">
        <v>802</v>
      </c>
      <c r="H88" s="1" t="s">
        <v>803</v>
      </c>
      <c r="M88" s="1" t="s">
        <v>804</v>
      </c>
      <c r="N88" s="1" t="s">
        <v>62</v>
      </c>
      <c r="O88" s="1" t="s">
        <v>771</v>
      </c>
      <c r="P88" s="1"/>
      <c r="Q88" s="6">
        <v>46265.0</v>
      </c>
      <c r="R88" s="1" t="s">
        <v>281</v>
      </c>
    </row>
    <row r="89">
      <c r="A89" s="1" t="s">
        <v>805</v>
      </c>
      <c r="B89" s="1" t="s">
        <v>806</v>
      </c>
      <c r="C89" s="1" t="s">
        <v>55</v>
      </c>
      <c r="D89" s="1" t="s">
        <v>57</v>
      </c>
      <c r="E89" s="1" t="s">
        <v>491</v>
      </c>
      <c r="F89" s="6">
        <v>46265.0</v>
      </c>
      <c r="G89" s="1" t="s">
        <v>807</v>
      </c>
      <c r="H89" s="1" t="s">
        <v>808</v>
      </c>
      <c r="M89" s="1" t="s">
        <v>808</v>
      </c>
      <c r="N89" s="1" t="s">
        <v>57</v>
      </c>
      <c r="O89" s="1" t="s">
        <v>809</v>
      </c>
      <c r="P89" s="1" t="s">
        <v>807</v>
      </c>
      <c r="R89" s="1" t="s">
        <v>281</v>
      </c>
    </row>
    <row r="90">
      <c r="A90" s="1" t="s">
        <v>811</v>
      </c>
      <c r="B90" s="1" t="s">
        <v>806</v>
      </c>
      <c r="C90" s="1" t="s">
        <v>67</v>
      </c>
      <c r="D90" s="1" t="s">
        <v>69</v>
      </c>
      <c r="E90" s="1" t="s">
        <v>491</v>
      </c>
      <c r="F90" s="6">
        <v>46266.0</v>
      </c>
      <c r="G90" s="1" t="s">
        <v>812</v>
      </c>
      <c r="H90" s="1" t="s">
        <v>813</v>
      </c>
      <c r="M90" s="1" t="s">
        <v>813</v>
      </c>
      <c r="N90" s="1" t="s">
        <v>69</v>
      </c>
      <c r="O90" s="1" t="s">
        <v>809</v>
      </c>
      <c r="P90" s="1" t="s">
        <v>812</v>
      </c>
      <c r="R90" s="1" t="s">
        <v>281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25"/>
    <col customWidth="1" min="3" max="3" width="22.38"/>
    <col customWidth="1" min="5" max="5" width="13.38"/>
    <col customWidth="1" min="8" max="8" width="35.38"/>
  </cols>
  <sheetData>
    <row r="1">
      <c r="A1" s="1" t="s">
        <v>245</v>
      </c>
      <c r="B1" s="1" t="s">
        <v>269</v>
      </c>
      <c r="C1" s="1" t="s">
        <v>13</v>
      </c>
      <c r="D1" s="1" t="s">
        <v>270</v>
      </c>
      <c r="E1" s="1" t="s">
        <v>271</v>
      </c>
      <c r="F1" s="1" t="s">
        <v>15</v>
      </c>
    </row>
    <row r="2">
      <c r="A2" s="1" t="s">
        <v>260</v>
      </c>
      <c r="B2" s="1" t="s">
        <v>266</v>
      </c>
      <c r="C2" s="1" t="s">
        <v>267</v>
      </c>
      <c r="D2" s="4">
        <v>80.0</v>
      </c>
      <c r="E2" s="4">
        <v>80.0</v>
      </c>
      <c r="F2" s="1" t="s">
        <v>39</v>
      </c>
      <c r="G2" s="11" t="str">
        <f t="array" ref="G2">_xlfn.XLOOKUP(A2,Tickets!A:A,Tickets!B:B)</f>
        <v>finalized</v>
      </c>
      <c r="H2" s="11" t="str">
        <f t="array" ref="H2">_xlfn.xlookup(A2,Tickets!A:A,Tickets!G:G)</f>
        <v>For Lunar New Year Campaign (10-17 Feb 2026)</v>
      </c>
    </row>
    <row r="3">
      <c r="A3" s="1" t="s">
        <v>260</v>
      </c>
      <c r="B3" s="1" t="s">
        <v>291</v>
      </c>
      <c r="C3" s="1" t="s">
        <v>292</v>
      </c>
      <c r="D3" s="4">
        <v>41.0</v>
      </c>
      <c r="E3" s="4">
        <v>41.0</v>
      </c>
      <c r="F3" s="1" t="s">
        <v>39</v>
      </c>
      <c r="G3" s="11" t="str">
        <f t="array" ref="G3">_xlfn.XLOOKUP(A3,Tickets!A:A,Tickets!B:B)</f>
        <v>finalized</v>
      </c>
      <c r="H3" s="11" t="str">
        <f t="array" ref="H3">_xlfn.xlookup(A3,Tickets!A:A,Tickets!G:G)</f>
        <v>For Lunar New Year Campaign (10-17 Feb 2026)</v>
      </c>
    </row>
    <row r="4">
      <c r="A4" s="1" t="s">
        <v>282</v>
      </c>
      <c r="B4" s="1" t="s">
        <v>56</v>
      </c>
      <c r="C4" s="1" t="s">
        <v>58</v>
      </c>
      <c r="D4" s="4">
        <v>1.0</v>
      </c>
      <c r="E4" s="4">
        <v>1.0</v>
      </c>
      <c r="F4" s="1" t="s">
        <v>39</v>
      </c>
      <c r="G4" s="11" t="str">
        <f t="array" ref="G4">_xlfn.XLOOKUP(A4,Tickets!A:A,Tickets!B:B)</f>
        <v>finalized</v>
      </c>
      <c r="H4" s="11" t="str">
        <f t="array" ref="H4">_xlfn.xlookup(A4,Tickets!A:A,Tickets!G:G)</f>
        <v>for Kaopoon's shooting as a prop and easter eggs</v>
      </c>
    </row>
    <row r="5">
      <c r="A5" s="1" t="s">
        <v>282</v>
      </c>
      <c r="B5" s="1" t="s">
        <v>262</v>
      </c>
      <c r="C5" s="1" t="s">
        <v>263</v>
      </c>
      <c r="D5" s="4">
        <v>2.0</v>
      </c>
      <c r="E5" s="4">
        <v>2.0</v>
      </c>
      <c r="F5" s="1" t="s">
        <v>39</v>
      </c>
      <c r="G5" s="11" t="str">
        <f t="array" ref="G5">_xlfn.XLOOKUP(A5,Tickets!A:A,Tickets!B:B)</f>
        <v>finalized</v>
      </c>
      <c r="H5" s="11" t="str">
        <f t="array" ref="H5">_xlfn.xlookup(A5,Tickets!A:A,Tickets!G:G)</f>
        <v>for Kaopoon's shooting as a prop and easter eggs</v>
      </c>
    </row>
    <row r="6">
      <c r="A6" s="1" t="s">
        <v>282</v>
      </c>
      <c r="B6" s="1" t="s">
        <v>272</v>
      </c>
      <c r="C6" s="1" t="s">
        <v>273</v>
      </c>
      <c r="D6" s="4">
        <v>1.0</v>
      </c>
      <c r="E6" s="4">
        <v>1.0</v>
      </c>
      <c r="F6" s="1" t="s">
        <v>39</v>
      </c>
      <c r="G6" s="11" t="str">
        <f t="array" ref="G6">_xlfn.XLOOKUP(A6,Tickets!A:A,Tickets!B:B)</f>
        <v>finalized</v>
      </c>
      <c r="H6" s="11" t="str">
        <f t="array" ref="H6">_xlfn.xlookup(A6,Tickets!A:A,Tickets!G:G)</f>
        <v>for Kaopoon's shooting as a prop and easter eggs</v>
      </c>
    </row>
    <row r="7">
      <c r="A7" s="1" t="s">
        <v>282</v>
      </c>
      <c r="B7" s="1" t="s">
        <v>291</v>
      </c>
      <c r="C7" s="1" t="s">
        <v>292</v>
      </c>
      <c r="D7" s="4">
        <v>2.0</v>
      </c>
      <c r="E7" s="4">
        <v>2.0</v>
      </c>
      <c r="F7" s="1" t="s">
        <v>39</v>
      </c>
      <c r="G7" s="11" t="str">
        <f t="array" ref="G7">_xlfn.XLOOKUP(A7,Tickets!A:A,Tickets!B:B)</f>
        <v>finalized</v>
      </c>
      <c r="H7" s="11" t="str">
        <f t="array" ref="H7">_xlfn.xlookup(A7,Tickets!A:A,Tickets!G:G)</f>
        <v>for Kaopoon's shooting as a prop and easter eggs</v>
      </c>
    </row>
    <row r="8">
      <c r="A8" s="1" t="s">
        <v>290</v>
      </c>
      <c r="B8" s="1" t="s">
        <v>266</v>
      </c>
      <c r="C8" s="1" t="s">
        <v>267</v>
      </c>
      <c r="D8" s="4">
        <v>10.0</v>
      </c>
      <c r="E8" s="4">
        <v>20.0</v>
      </c>
      <c r="F8" s="1" t="s">
        <v>39</v>
      </c>
      <c r="G8" s="11" t="str">
        <f t="array" ref="G8">_xlfn.XLOOKUP(A8,Tickets!A:A,Tickets!B:B)</f>
        <v>finalized</v>
      </c>
      <c r="H8" s="11" t="str">
        <f t="array" ref="H8">_xlfn.xlookup(A8,Tickets!A:A,Tickets!G:G)</f>
        <v>ເບີກໄປໃຊ້ຊັ້ນ 1</v>
      </c>
    </row>
    <row r="9">
      <c r="A9" s="1" t="s">
        <v>297</v>
      </c>
      <c r="B9" s="1" t="s">
        <v>272</v>
      </c>
      <c r="C9" s="1" t="s">
        <v>273</v>
      </c>
      <c r="D9" s="4">
        <v>10.0</v>
      </c>
      <c r="E9" s="4">
        <v>10.0</v>
      </c>
      <c r="F9" s="1" t="s">
        <v>39</v>
      </c>
      <c r="G9" s="11" t="str">
        <f t="array" ref="G9">_xlfn.XLOOKUP(A9,Tickets!A:A,Tickets!B:B)</f>
        <v>finalized</v>
      </c>
      <c r="H9" s="11" t="str">
        <f t="array" ref="H9">_xlfn.xlookup(A9,Tickets!A:A,Tickets!G:G)</f>
        <v>ໃຫ້ທີມອາເຈັນຊີ້ ອອກບູສ ທີ່ງານ ຫນັງສື ຢູ່ ມ.ຊ</v>
      </c>
    </row>
    <row r="10">
      <c r="A10" s="1" t="s">
        <v>297</v>
      </c>
      <c r="B10" s="1" t="s">
        <v>325</v>
      </c>
      <c r="C10" s="1" t="s">
        <v>326</v>
      </c>
      <c r="D10" s="4">
        <v>1000.0</v>
      </c>
      <c r="E10" s="4">
        <v>1000.0</v>
      </c>
      <c r="F10" s="1" t="s">
        <v>201</v>
      </c>
      <c r="G10" s="11" t="str">
        <f t="array" ref="G10">_xlfn.XLOOKUP(A10,Tickets!A:A,Tickets!B:B)</f>
        <v>finalized</v>
      </c>
      <c r="H10" s="11" t="str">
        <f t="array" ref="H10">_xlfn.xlookup(A10,Tickets!A:A,Tickets!G:G)</f>
        <v>ໃຫ້ທີມອາເຈັນຊີ້ ອອກບູສ ທີ່ງານ ຫນັງສື ຢູ່ ມ.ຊ</v>
      </c>
    </row>
    <row r="11">
      <c r="A11" s="1" t="s">
        <v>303</v>
      </c>
      <c r="B11" s="1" t="s">
        <v>266</v>
      </c>
      <c r="C11" s="1" t="s">
        <v>267</v>
      </c>
      <c r="D11" s="4">
        <v>30.0</v>
      </c>
      <c r="E11" s="4">
        <v>30.0</v>
      </c>
      <c r="F11" s="1" t="s">
        <v>39</v>
      </c>
      <c r="G11" s="11" t="str">
        <f t="array" ref="G11">_xlfn.XLOOKUP(A11,Tickets!A:A,Tickets!B:B)</f>
        <v>finalized</v>
      </c>
      <c r="H11" s="11" t="str">
        <f t="array" ref="H11">_xlfn.xlookup(A11,Tickets!A:A,Tickets!G:G)</f>
        <v>For Bluebox campaign</v>
      </c>
    </row>
    <row r="12">
      <c r="A12" s="1" t="s">
        <v>310</v>
      </c>
      <c r="B12" s="1" t="s">
        <v>331</v>
      </c>
      <c r="C12" s="1" t="s">
        <v>332</v>
      </c>
      <c r="D12" s="4">
        <v>5.0</v>
      </c>
      <c r="E12" s="4">
        <v>5.0</v>
      </c>
      <c r="F12" s="1" t="s">
        <v>323</v>
      </c>
      <c r="G12" s="11" t="str">
        <f t="array" ref="G12">_xlfn.XLOOKUP(A12,Tickets!A:A,Tickets!B:B)</f>
        <v>finalized</v>
      </c>
      <c r="H12" s="11" t="str">
        <f t="array" ref="H12">_xlfn.xlookup(A12,Tickets!A:A,Tickets!G:G)</f>
        <v>ເບິກໄປຊັບພອດງານສະປອນເຊີ Pha-Jay</v>
      </c>
    </row>
    <row r="13">
      <c r="A13" s="1" t="s">
        <v>314</v>
      </c>
      <c r="B13" s="1" t="s">
        <v>272</v>
      </c>
      <c r="C13" s="1" t="s">
        <v>273</v>
      </c>
      <c r="D13" s="4">
        <v>10.0</v>
      </c>
      <c r="E13" s="4">
        <v>10.0</v>
      </c>
      <c r="F13" s="1" t="s">
        <v>39</v>
      </c>
      <c r="G13" s="11" t="str">
        <f t="array" ref="G13">_xlfn.XLOOKUP(A13,Tickets!A:A,Tickets!B:B)</f>
        <v>finalized</v>
      </c>
      <c r="H13" s="11" t="str">
        <f t="array" ref="H13">_xlfn.xlookup(A13,Tickets!A:A,Tickets!G:G)</f>
        <v>Support Corporate (partnership)</v>
      </c>
    </row>
    <row r="14">
      <c r="A14" s="1" t="s">
        <v>320</v>
      </c>
      <c r="B14" s="1" t="s">
        <v>291</v>
      </c>
      <c r="C14" s="1" t="s">
        <v>292</v>
      </c>
      <c r="D14" s="4">
        <v>40.0</v>
      </c>
      <c r="E14" s="4">
        <v>40.0</v>
      </c>
      <c r="F14" s="1" t="s">
        <v>39</v>
      </c>
      <c r="G14" s="11" t="str">
        <f t="array" ref="G14">_xlfn.XLOOKUP(A14,Tickets!A:A,Tickets!B:B)</f>
        <v>finalized</v>
      </c>
      <c r="H14" s="11" t="str">
        <f t="array" ref="H14">_xlfn.xlookup(A14,Tickets!A:A,Tickets!G:G)</f>
        <v>Agency support Picky Bank 40</v>
      </c>
    </row>
    <row r="15">
      <c r="A15" s="1" t="s">
        <v>330</v>
      </c>
      <c r="B15" s="1" t="s">
        <v>272</v>
      </c>
      <c r="C15" s="1" t="s">
        <v>273</v>
      </c>
      <c r="D15" s="4">
        <v>500.0</v>
      </c>
      <c r="E15" s="4">
        <v>500.0</v>
      </c>
      <c r="F15" s="1" t="s">
        <v>39</v>
      </c>
      <c r="G15" s="11" t="str">
        <f t="array" ref="G15">_xlfn.XLOOKUP(A15,Tickets!A:A,Tickets!B:B)</f>
        <v>finalized</v>
      </c>
      <c r="H15" s="11" t="str">
        <f t="array" ref="H15">_xlfn.xlookup(A15,Tickets!A:A,Tickets!G:G)</f>
        <v>ເບີກເຄື່ອງໄວ້ສາງຊັ້ນ6</v>
      </c>
    </row>
    <row r="16">
      <c r="A16" s="1" t="s">
        <v>330</v>
      </c>
      <c r="B16" s="1" t="s">
        <v>56</v>
      </c>
      <c r="C16" s="1" t="s">
        <v>58</v>
      </c>
      <c r="D16" s="4">
        <v>200.0</v>
      </c>
      <c r="E16" s="4">
        <v>200.0</v>
      </c>
      <c r="F16" s="1" t="s">
        <v>39</v>
      </c>
      <c r="G16" s="11" t="str">
        <f t="array" ref="G16">_xlfn.XLOOKUP(A16,Tickets!A:A,Tickets!B:B)</f>
        <v>finalized</v>
      </c>
      <c r="H16" s="11" t="str">
        <f t="array" ref="H16">_xlfn.xlookup(A16,Tickets!A:A,Tickets!G:G)</f>
        <v>ເບີກເຄື່ອງໄວ້ສາງຊັ້ນ6</v>
      </c>
    </row>
    <row r="17">
      <c r="A17" s="1" t="s">
        <v>330</v>
      </c>
      <c r="B17" s="1" t="s">
        <v>81</v>
      </c>
      <c r="C17" s="1" t="s">
        <v>83</v>
      </c>
      <c r="D17" s="4">
        <v>100.0</v>
      </c>
      <c r="E17" s="4">
        <v>100.0</v>
      </c>
      <c r="F17" s="1" t="s">
        <v>39</v>
      </c>
      <c r="G17" s="11" t="str">
        <f t="array" ref="G17">_xlfn.XLOOKUP(A17,Tickets!A:A,Tickets!B:B)</f>
        <v>finalized</v>
      </c>
      <c r="H17" s="11" t="str">
        <f t="array" ref="H17">_xlfn.xlookup(A17,Tickets!A:A,Tickets!G:G)</f>
        <v>ເບີກເຄື່ອງໄວ້ສາງຊັ້ນ6</v>
      </c>
    </row>
    <row r="18">
      <c r="A18" s="1" t="s">
        <v>338</v>
      </c>
      <c r="B18" s="1" t="s">
        <v>331</v>
      </c>
      <c r="C18" s="1" t="s">
        <v>332</v>
      </c>
      <c r="D18" s="4">
        <v>10.0</v>
      </c>
      <c r="E18" s="4">
        <v>10.0</v>
      </c>
      <c r="F18" s="1" t="s">
        <v>323</v>
      </c>
      <c r="G18" s="11" t="str">
        <f t="array" ref="G18">_xlfn.XLOOKUP(A18,Tickets!A:A,Tickets!B:B)</f>
        <v>finalized</v>
      </c>
      <c r="H18" s="11" t="str">
        <f t="array" ref="H18">_xlfn.xlookup(A18,Tickets!A:A,Tickets!G:G)</f>
        <v>ເບີກໄວ້ມອບໃຫ້ຫົວໜ້າກົມເຕັກໂນໂລຊີ ແລະ ໄວໃຫ້ແຂກຫົວໜ້າ</v>
      </c>
    </row>
    <row r="19">
      <c r="A19" s="1" t="s">
        <v>346</v>
      </c>
      <c r="B19" s="1" t="s">
        <v>339</v>
      </c>
      <c r="C19" s="1" t="s">
        <v>340</v>
      </c>
      <c r="D19" s="4">
        <v>1.0</v>
      </c>
      <c r="E19" s="4">
        <v>1.0</v>
      </c>
      <c r="F19" s="1" t="s">
        <v>156</v>
      </c>
      <c r="G19" s="11" t="str">
        <f t="array" ref="G19">_xlfn.XLOOKUP(A19,Tickets!A:A,Tickets!B:B)</f>
        <v>finalized</v>
      </c>
      <c r="H19" s="11" t="str">
        <f t="array" ref="H19">_xlfn.xlookup(A19,Tickets!A:A,Tickets!G:G)</f>
        <v>ໃຊ້ເປັນໂຕະກາເຟຊັ້ນ 01 ເພື່ອຮັບຮອງລູກຄ້າ</v>
      </c>
    </row>
    <row r="20">
      <c r="A20" s="1" t="s">
        <v>355</v>
      </c>
      <c r="B20" s="1" t="s">
        <v>266</v>
      </c>
      <c r="C20" s="1" t="s">
        <v>267</v>
      </c>
      <c r="D20" s="4">
        <v>20.0</v>
      </c>
      <c r="E20" s="4">
        <v>20.0</v>
      </c>
      <c r="F20" s="1" t="s">
        <v>39</v>
      </c>
      <c r="G20" s="11" t="str">
        <f t="array" ref="G20">_xlfn.XLOOKUP(A20,Tickets!A:A,Tickets!B:B)</f>
        <v>finalized</v>
      </c>
      <c r="H20" s="11" t="str">
        <f t="array" ref="H20">_xlfn.xlookup(A20,Tickets!A:A,Tickets!G:G)</f>
        <v>Free gifts and giveaways for customers at booth events.
ເເຈກລູກຄ້າເປີດບັນຊີ ເເລະ ຊື້ຄຳຫນ້າບູດ</v>
      </c>
    </row>
    <row r="21">
      <c r="A21" s="1" t="s">
        <v>355</v>
      </c>
      <c r="B21" s="1" t="s">
        <v>272</v>
      </c>
      <c r="C21" s="1" t="s">
        <v>273</v>
      </c>
      <c r="D21" s="4">
        <v>5.0</v>
      </c>
      <c r="E21" s="4">
        <v>5.0</v>
      </c>
      <c r="F21" s="1" t="s">
        <v>39</v>
      </c>
      <c r="G21" s="11" t="str">
        <f t="array" ref="G21">_xlfn.XLOOKUP(A21,Tickets!A:A,Tickets!B:B)</f>
        <v>finalized</v>
      </c>
      <c r="H21" s="11" t="str">
        <f t="array" ref="H21">_xlfn.xlookup(A21,Tickets!A:A,Tickets!G:G)</f>
        <v>Free gifts and giveaways for customers at booth events.
ເເຈກລູກຄ້າເປີດບັນຊີ ເເລະ ຊື້ຄຳຫນ້າບູດ</v>
      </c>
    </row>
    <row r="22">
      <c r="A22" s="1" t="s">
        <v>355</v>
      </c>
      <c r="B22" s="1" t="s">
        <v>291</v>
      </c>
      <c r="C22" s="1" t="s">
        <v>292</v>
      </c>
      <c r="D22" s="4">
        <v>5.0</v>
      </c>
      <c r="E22" s="4">
        <v>5.0</v>
      </c>
      <c r="F22" s="1" t="s">
        <v>39</v>
      </c>
      <c r="G22" s="11" t="str">
        <f t="array" ref="G22">_xlfn.XLOOKUP(A22,Tickets!A:A,Tickets!B:B)</f>
        <v>finalized</v>
      </c>
      <c r="H22" s="11" t="str">
        <f t="array" ref="H22">_xlfn.xlookup(A22,Tickets!A:A,Tickets!G:G)</f>
        <v>Free gifts and giveaways for customers at booth events.
ເເຈກລູກຄ້າເປີດບັນຊີ ເເລະ ຊື້ຄຳຫນ້າບູດ</v>
      </c>
    </row>
    <row r="23">
      <c r="A23" s="1" t="s">
        <v>364</v>
      </c>
      <c r="B23" s="1" t="s">
        <v>395</v>
      </c>
      <c r="C23" s="1" t="s">
        <v>396</v>
      </c>
      <c r="D23" s="4">
        <v>20.0</v>
      </c>
      <c r="E23" s="4">
        <v>20.0</v>
      </c>
      <c r="F23" s="1" t="s">
        <v>201</v>
      </c>
      <c r="G23" s="11" t="str">
        <f t="array" ref="G23">_xlfn.XLOOKUP(A23,Tickets!A:A,Tickets!B:B)</f>
        <v>finalized</v>
      </c>
      <c r="H23" s="11" t="str">
        <f t="array" ref="H23">_xlfn.xlookup(A23,Tickets!A:A,Tickets!G:G)</f>
        <v>Free gifts and giveaways for customers at booth events.
ເເຈກລູກຄ້າເປີດບັນຊີໃຫມ່ ເເລະ ຊື້ຄຳຫນ້າບູດ</v>
      </c>
    </row>
    <row r="24">
      <c r="A24" s="1" t="s">
        <v>371</v>
      </c>
      <c r="B24" s="1" t="s">
        <v>266</v>
      </c>
      <c r="C24" s="1" t="s">
        <v>267</v>
      </c>
      <c r="D24" s="4">
        <v>60.0</v>
      </c>
      <c r="E24" s="4">
        <v>60.0</v>
      </c>
      <c r="F24" s="1" t="s">
        <v>39</v>
      </c>
      <c r="G24" s="11" t="str">
        <f t="array" ref="G24">_xlfn.XLOOKUP(A24,Tickets!A:A,Tickets!B:B)</f>
        <v>finalized</v>
      </c>
      <c r="H24" s="11" t="str">
        <f t="array" ref="H24">_xlfn.xlookup(A24,Tickets!A:A,Tickets!G:G)</f>
        <v>resubmit</v>
      </c>
    </row>
    <row r="25">
      <c r="A25" s="1" t="s">
        <v>371</v>
      </c>
      <c r="B25" s="1" t="s">
        <v>395</v>
      </c>
      <c r="C25" s="1" t="s">
        <v>396</v>
      </c>
      <c r="D25" s="4">
        <v>300.0</v>
      </c>
      <c r="E25" s="4">
        <v>300.0</v>
      </c>
      <c r="F25" s="1" t="s">
        <v>201</v>
      </c>
      <c r="G25" s="11" t="str">
        <f t="array" ref="G25">_xlfn.XLOOKUP(A25,Tickets!A:A,Tickets!B:B)</f>
        <v>finalized</v>
      </c>
      <c r="H25" s="11" t="str">
        <f t="array" ref="H25">_xlfn.xlookup(A25,Tickets!A:A,Tickets!G:G)</f>
        <v>resubmit</v>
      </c>
    </row>
    <row r="26">
      <c r="A26" s="1" t="s">
        <v>371</v>
      </c>
      <c r="B26" s="1" t="s">
        <v>412</v>
      </c>
      <c r="C26" s="1" t="s">
        <v>413</v>
      </c>
      <c r="D26" s="4">
        <v>160.0</v>
      </c>
      <c r="E26" s="4">
        <v>160.0</v>
      </c>
      <c r="F26" s="1" t="s">
        <v>201</v>
      </c>
      <c r="G26" s="11" t="str">
        <f t="array" ref="G26">_xlfn.XLOOKUP(A26,Tickets!A:A,Tickets!B:B)</f>
        <v>finalized</v>
      </c>
      <c r="H26" s="11" t="str">
        <f t="array" ref="H26">_xlfn.xlookup(A26,Tickets!A:A,Tickets!G:G)</f>
        <v>resubmit</v>
      </c>
    </row>
    <row r="27">
      <c r="A27" s="1" t="s">
        <v>371</v>
      </c>
      <c r="B27" s="1" t="s">
        <v>325</v>
      </c>
      <c r="C27" s="1" t="s">
        <v>326</v>
      </c>
      <c r="D27" s="4">
        <v>1200.0</v>
      </c>
      <c r="E27" s="4">
        <v>1200.0</v>
      </c>
      <c r="F27" s="1" t="s">
        <v>201</v>
      </c>
      <c r="G27" s="11" t="str">
        <f t="array" ref="G27">_xlfn.XLOOKUP(A27,Tickets!A:A,Tickets!B:B)</f>
        <v>finalized</v>
      </c>
      <c r="H27" s="11" t="str">
        <f t="array" ref="H27">_xlfn.xlookup(A27,Tickets!A:A,Tickets!G:G)</f>
        <v>resubmit</v>
      </c>
    </row>
    <row r="28">
      <c r="A28" s="1" t="s">
        <v>371</v>
      </c>
      <c r="B28" s="1" t="s">
        <v>81</v>
      </c>
      <c r="C28" s="1" t="s">
        <v>83</v>
      </c>
      <c r="D28" s="4">
        <v>30.0</v>
      </c>
      <c r="E28" s="4">
        <v>30.0</v>
      </c>
      <c r="F28" s="1" t="s">
        <v>39</v>
      </c>
      <c r="G28" s="11" t="str">
        <f t="array" ref="G28">_xlfn.XLOOKUP(A28,Tickets!A:A,Tickets!B:B)</f>
        <v>finalized</v>
      </c>
      <c r="H28" s="11" t="str">
        <f t="array" ref="H28">_xlfn.xlookup(A28,Tickets!A:A,Tickets!G:G)</f>
        <v>resubmit</v>
      </c>
    </row>
    <row r="29">
      <c r="A29" s="1" t="s">
        <v>371</v>
      </c>
      <c r="B29" s="1" t="s">
        <v>272</v>
      </c>
      <c r="C29" s="1" t="s">
        <v>273</v>
      </c>
      <c r="D29" s="4">
        <v>30.0</v>
      </c>
      <c r="E29" s="4">
        <v>30.0</v>
      </c>
      <c r="F29" s="1" t="s">
        <v>39</v>
      </c>
      <c r="G29" s="11" t="str">
        <f t="array" ref="G29">_xlfn.XLOOKUP(A29,Tickets!A:A,Tickets!B:B)</f>
        <v>finalized</v>
      </c>
      <c r="H29" s="11" t="str">
        <f t="array" ref="H29">_xlfn.xlookup(A29,Tickets!A:A,Tickets!G:G)</f>
        <v>resubmit</v>
      </c>
    </row>
    <row r="30">
      <c r="A30" s="1" t="s">
        <v>379</v>
      </c>
      <c r="B30" s="1" t="s">
        <v>428</v>
      </c>
      <c r="C30" s="1" t="s">
        <v>429</v>
      </c>
      <c r="D30" s="4">
        <v>30.0</v>
      </c>
      <c r="E30" s="4">
        <v>30.0</v>
      </c>
      <c r="F30" s="1" t="s">
        <v>156</v>
      </c>
      <c r="G30" s="11" t="str">
        <f t="array" ref="G30">_xlfn.XLOOKUP(A30,Tickets!A:A,Tickets!B:B)</f>
        <v>finalized</v>
      </c>
      <c r="H30" s="11" t="str">
        <f t="array" ref="H30">_xlfn.xlookup(A30,Tickets!A:A,Tickets!G:G)</f>
        <v>For Q1 Booth activation by agency</v>
      </c>
    </row>
    <row r="31">
      <c r="A31" s="1" t="s">
        <v>386</v>
      </c>
      <c r="B31" s="1" t="s">
        <v>81</v>
      </c>
      <c r="C31" s="1" t="s">
        <v>83</v>
      </c>
      <c r="D31" s="4">
        <v>50.0</v>
      </c>
      <c r="E31" s="4">
        <v>70.0</v>
      </c>
      <c r="F31" s="1" t="s">
        <v>39</v>
      </c>
      <c r="G31" s="11" t="str">
        <f t="array" ref="G31">_xlfn.XLOOKUP(A31,Tickets!A:A,Tickets!B:B)</f>
        <v>finalized</v>
      </c>
      <c r="H31" s="11" t="str">
        <f t="array" ref="H31">_xlfn.xlookup(A31,Tickets!A:A,Tickets!G:G)</f>
        <v>ເບີກເຄື່ອງໄວ້ສາງຊັ້ນ 6</v>
      </c>
    </row>
    <row r="32">
      <c r="A32" s="1" t="s">
        <v>397</v>
      </c>
      <c r="B32" s="1" t="s">
        <v>33</v>
      </c>
      <c r="C32" s="1" t="s">
        <v>34</v>
      </c>
      <c r="D32" s="4">
        <v>50.0</v>
      </c>
      <c r="E32" s="4">
        <v>50.0</v>
      </c>
      <c r="F32" s="1" t="s">
        <v>39</v>
      </c>
      <c r="G32" s="11" t="str">
        <f t="array" ref="G32">_xlfn.XLOOKUP(A32,Tickets!A:A,Tickets!B:B)</f>
        <v>finalized</v>
      </c>
      <c r="H32" s="11" t="str">
        <f t="array" ref="H32">_xlfn.xlookup(A32,Tickets!A:A,Tickets!G:G)</f>
        <v>ເບີກເຄື່ອງໄວ້ສາງຊັ້ນ 6</v>
      </c>
    </row>
    <row r="33">
      <c r="A33" s="1" t="s">
        <v>403</v>
      </c>
      <c r="B33" s="1" t="s">
        <v>441</v>
      </c>
      <c r="C33" s="1" t="s">
        <v>445</v>
      </c>
      <c r="D33" s="4">
        <v>20.0</v>
      </c>
      <c r="E33" s="4">
        <v>20.0</v>
      </c>
      <c r="F33" s="1" t="s">
        <v>201</v>
      </c>
      <c r="G33" s="11" t="str">
        <f t="array" ref="G33">_xlfn.XLOOKUP(A33,Tickets!A:A,Tickets!B:B)</f>
        <v>finalized</v>
      </c>
      <c r="H33" s="11" t="str">
        <f t="array" ref="H33">_xlfn.xlookup(A33,Tickets!A:A,Tickets!G:G)</f>
        <v>ເບິກໃຫ້ທີມງານການຕະຫລາດ, ພາດເນີຊີບ ແລະ ໂດ້ (ພະນັກງານເກົ່າ)</v>
      </c>
    </row>
    <row r="34">
      <c r="A34" s="1" t="s">
        <v>403</v>
      </c>
      <c r="B34" s="1" t="s">
        <v>405</v>
      </c>
      <c r="C34" s="1" t="s">
        <v>455</v>
      </c>
      <c r="D34" s="4">
        <v>5.0</v>
      </c>
      <c r="E34" s="4">
        <v>5.0</v>
      </c>
      <c r="F34" s="1" t="s">
        <v>201</v>
      </c>
      <c r="G34" s="11" t="str">
        <f t="array" ref="G34">_xlfn.XLOOKUP(A34,Tickets!A:A,Tickets!B:B)</f>
        <v>finalized</v>
      </c>
      <c r="H34" s="11" t="str">
        <f t="array" ref="H34">_xlfn.xlookup(A34,Tickets!A:A,Tickets!G:G)</f>
        <v>ເບິກໃຫ້ທີມງານການຕະຫລາດ, ພາດເນີຊີບ ແລະ ໂດ້ (ພະນັກງານເກົ່າ)</v>
      </c>
    </row>
    <row r="35">
      <c r="A35" s="1" t="s">
        <v>403</v>
      </c>
      <c r="B35" s="1" t="s">
        <v>412</v>
      </c>
      <c r="C35" s="1" t="s">
        <v>413</v>
      </c>
      <c r="D35" s="4">
        <v>10.0</v>
      </c>
      <c r="E35" s="4">
        <v>10.0</v>
      </c>
      <c r="F35" s="1" t="s">
        <v>201</v>
      </c>
      <c r="G35" s="11" t="str">
        <f t="array" ref="G35">_xlfn.XLOOKUP(A35,Tickets!A:A,Tickets!B:B)</f>
        <v>finalized</v>
      </c>
      <c r="H35" s="11" t="str">
        <f t="array" ref="H35">_xlfn.xlookup(A35,Tickets!A:A,Tickets!G:G)</f>
        <v>ເບິກໃຫ້ທີມງານການຕະຫລາດ, ພາດເນີຊີບ ແລະ ໂດ້ (ພະນັກງານເກົ່າ)</v>
      </c>
    </row>
    <row r="36">
      <c r="A36" s="1" t="s">
        <v>411</v>
      </c>
      <c r="B36" s="1" t="s">
        <v>441</v>
      </c>
      <c r="C36" s="1" t="s">
        <v>445</v>
      </c>
      <c r="D36" s="4">
        <v>100.0</v>
      </c>
      <c r="E36" s="4">
        <v>100.0</v>
      </c>
      <c r="F36" s="1" t="s">
        <v>201</v>
      </c>
      <c r="G36" s="11" t="str">
        <f t="array" ref="G36">_xlfn.XLOOKUP(A36,Tickets!A:A,Tickets!B:B)</f>
        <v>finalized</v>
      </c>
      <c r="H36" s="11" t="str">
        <f t="array" ref="H36">_xlfn.xlookup(A36,Tickets!A:A,Tickets!G:G)</f>
        <v>ເບິກໃຫ້ທີມງານອາເຈັນຊີ້ ອອກບູສ</v>
      </c>
    </row>
    <row r="37">
      <c r="A37" s="1" t="s">
        <v>417</v>
      </c>
      <c r="B37" s="1" t="s">
        <v>448</v>
      </c>
      <c r="C37" s="1" t="s">
        <v>450</v>
      </c>
      <c r="D37" s="4">
        <v>770.0</v>
      </c>
      <c r="E37" s="4">
        <v>770.0</v>
      </c>
      <c r="F37" s="1" t="s">
        <v>201</v>
      </c>
      <c r="G37" s="11" t="str">
        <f t="array" ref="G37">_xlfn.XLOOKUP(A37,Tickets!A:A,Tickets!B:B)</f>
        <v>finalized</v>
      </c>
      <c r="H37" s="11" t="str">
        <f t="array" ref="H37">_xlfn.xlookup(A37,Tickets!A:A,Tickets!G:G)</f>
        <v>ຊັບມິດຄືນ ເພຶ່ອຊັບພອດເຄມເປນ LNY</v>
      </c>
    </row>
    <row r="38">
      <c r="A38" s="1" t="s">
        <v>424</v>
      </c>
      <c r="B38" s="1" t="s">
        <v>266</v>
      </c>
      <c r="C38" s="1" t="s">
        <v>267</v>
      </c>
      <c r="D38" s="4">
        <v>20.0</v>
      </c>
      <c r="E38" s="4">
        <v>20.0</v>
      </c>
      <c r="F38" s="1" t="s">
        <v>39</v>
      </c>
      <c r="G38" s="11" t="str">
        <f t="array" ref="G38">_xlfn.XLOOKUP(A38,Tickets!A:A,Tickets!B:B)</f>
        <v>finalized</v>
      </c>
      <c r="H38" s="11" t="str">
        <f t="array" ref="H38">_xlfn.xlookup(A38,Tickets!A:A,Tickets!G:G)</f>
        <v>Free gifts and giveaways for customers at booth events.ເຄື່ອງເເຈກໃຫ້ລູກຄ້າຫນ້າບູດສາຂາວັງທອງ</v>
      </c>
    </row>
    <row r="39">
      <c r="A39" s="1" t="s">
        <v>424</v>
      </c>
      <c r="B39" s="1" t="s">
        <v>272</v>
      </c>
      <c r="C39" s="1" t="s">
        <v>273</v>
      </c>
      <c r="D39" s="4">
        <v>5.0</v>
      </c>
      <c r="E39" s="4">
        <v>5.0</v>
      </c>
      <c r="F39" s="1" t="s">
        <v>39</v>
      </c>
      <c r="G39" s="11" t="str">
        <f t="array" ref="G39">_xlfn.XLOOKUP(A39,Tickets!A:A,Tickets!B:B)</f>
        <v>finalized</v>
      </c>
      <c r="H39" s="11" t="str">
        <f t="array" ref="H39">_xlfn.xlookup(A39,Tickets!A:A,Tickets!G:G)</f>
        <v>Free gifts and giveaways for customers at booth events.ເຄື່ອງເເຈກໃຫ້ລູກຄ້າຫນ້າບູດສາຂາວັງທອງ</v>
      </c>
    </row>
    <row r="40">
      <c r="A40" s="1" t="s">
        <v>424</v>
      </c>
      <c r="B40" s="1" t="s">
        <v>395</v>
      </c>
      <c r="C40" s="1" t="s">
        <v>396</v>
      </c>
      <c r="D40" s="4">
        <v>10.0</v>
      </c>
      <c r="E40" s="4">
        <v>10.0</v>
      </c>
      <c r="F40" s="1" t="s">
        <v>201</v>
      </c>
      <c r="G40" s="11" t="str">
        <f t="array" ref="G40">_xlfn.XLOOKUP(A40,Tickets!A:A,Tickets!B:B)</f>
        <v>finalized</v>
      </c>
      <c r="H40" s="11" t="str">
        <f t="array" ref="H40">_xlfn.xlookup(A40,Tickets!A:A,Tickets!G:G)</f>
        <v>Free gifts and giveaways for customers at booth events.ເຄື່ອງເເຈກໃຫ້ລູກຄ້າຫນ້າບູດສາຂາວັງທອງ</v>
      </c>
    </row>
    <row r="41">
      <c r="A41" s="1" t="s">
        <v>435</v>
      </c>
      <c r="B41" s="1" t="s">
        <v>405</v>
      </c>
      <c r="C41" s="1" t="s">
        <v>455</v>
      </c>
      <c r="D41" s="4">
        <v>10.0</v>
      </c>
      <c r="E41" s="4">
        <v>10.0</v>
      </c>
      <c r="F41" s="1" t="s">
        <v>201</v>
      </c>
      <c r="G41" s="11" t="str">
        <f t="array" ref="G41">_xlfn.XLOOKUP(A41,Tickets!A:A,Tickets!B:B)</f>
        <v>finalized</v>
      </c>
      <c r="H41" s="11" t="str">
        <f t="array" ref="H41">_xlfn.xlookup(A41,Tickets!A:A,Tickets!G:G)</f>
        <v>Free gifts and giveaways for customers at booth events. ເເຈກໃຫ້ກັບລູກຄ້າຫນ້າບູດສາຂາວັງທອງ</v>
      </c>
    </row>
    <row r="42">
      <c r="A42" s="1" t="s">
        <v>435</v>
      </c>
      <c r="B42" s="1" t="s">
        <v>441</v>
      </c>
      <c r="C42" s="1" t="s">
        <v>445</v>
      </c>
      <c r="D42" s="4">
        <v>10.0</v>
      </c>
      <c r="E42" s="4">
        <v>10.0</v>
      </c>
      <c r="F42" s="1" t="s">
        <v>201</v>
      </c>
      <c r="G42" s="11" t="str">
        <f t="array" ref="G42">_xlfn.XLOOKUP(A42,Tickets!A:A,Tickets!B:B)</f>
        <v>finalized</v>
      </c>
      <c r="H42" s="11" t="str">
        <f t="array" ref="H42">_xlfn.xlookup(A42,Tickets!A:A,Tickets!G:G)</f>
        <v>Free gifts and giveaways for customers at booth events. ເເຈກໃຫ້ກັບລູກຄ້າຫນ້າບູດສາຂາວັງທອງ</v>
      </c>
    </row>
    <row r="43">
      <c r="A43" s="1" t="s">
        <v>444</v>
      </c>
      <c r="B43" s="1" t="s">
        <v>56</v>
      </c>
      <c r="C43" s="1" t="s">
        <v>58</v>
      </c>
      <c r="D43" s="4">
        <v>100.0</v>
      </c>
      <c r="E43" s="4">
        <v>100.0</v>
      </c>
      <c r="F43" s="1" t="s">
        <v>39</v>
      </c>
      <c r="G43" s="11" t="str">
        <f t="array" ref="G43">_xlfn.XLOOKUP(A43,Tickets!A:A,Tickets!B:B)</f>
        <v>finalized</v>
      </c>
      <c r="H43" s="11" t="str">
        <f t="array" ref="H43">_xlfn.xlookup(A43,Tickets!A:A,Tickets!G:G)</f>
        <v>ເບິກເຄື່ອງໃຫ້ອາເຈັນຊີ້ປະຈຳເດືອນ 5 ແລະ ເບິກໃຊ້ຊັບພອດງານ ອີເວັ້ນ StartUp 2026</v>
      </c>
    </row>
    <row r="44">
      <c r="A44" s="1" t="s">
        <v>444</v>
      </c>
      <c r="B44" s="1" t="s">
        <v>272</v>
      </c>
      <c r="C44" s="1" t="s">
        <v>273</v>
      </c>
      <c r="D44" s="4">
        <v>50.0</v>
      </c>
      <c r="E44" s="4">
        <v>50.0</v>
      </c>
      <c r="F44" s="1" t="s">
        <v>39</v>
      </c>
      <c r="G44" s="11" t="str">
        <f t="array" ref="G44">_xlfn.XLOOKUP(A44,Tickets!A:A,Tickets!B:B)</f>
        <v>finalized</v>
      </c>
      <c r="H44" s="11" t="str">
        <f t="array" ref="H44">_xlfn.xlookup(A44,Tickets!A:A,Tickets!G:G)</f>
        <v>ເບິກເຄື່ອງໃຫ້ອາເຈັນຊີ້ປະຈຳເດືອນ 5 ແລະ ເບິກໃຊ້ຊັບພອດງານ ອີເວັ້ນ StartUp 2026</v>
      </c>
    </row>
    <row r="45">
      <c r="A45" s="1" t="s">
        <v>444</v>
      </c>
      <c r="B45" s="1" t="s">
        <v>217</v>
      </c>
      <c r="C45" s="1" t="s">
        <v>315</v>
      </c>
      <c r="D45" s="4">
        <v>48.0</v>
      </c>
      <c r="E45" s="1">
        <v>47.0</v>
      </c>
      <c r="F45" s="1" t="s">
        <v>39</v>
      </c>
      <c r="G45" s="11" t="str">
        <f t="array" ref="G45">_xlfn.XLOOKUP(A45,Tickets!A:A,Tickets!B:B)</f>
        <v>finalized</v>
      </c>
      <c r="H45" s="11" t="str">
        <f t="array" ref="H45">_xlfn.xlookup(A45,Tickets!A:A,Tickets!G:G)</f>
        <v>ເບິກເຄື່ອງໃຫ້ອາເຈັນຊີ້ປະຈຳເດືອນ 5 ແລະ ເບິກໃຊ້ຊັບພອດງານ ອີເວັ້ນ StartUp 2026</v>
      </c>
    </row>
    <row r="46">
      <c r="A46" s="1" t="s">
        <v>444</v>
      </c>
      <c r="B46" s="1" t="s">
        <v>331</v>
      </c>
      <c r="C46" s="1" t="s">
        <v>332</v>
      </c>
      <c r="D46" s="1">
        <v>4.0</v>
      </c>
      <c r="E46" s="1">
        <v>4.0</v>
      </c>
      <c r="F46" s="1" t="s">
        <v>323</v>
      </c>
      <c r="G46" s="11" t="str">
        <f t="array" ref="G46">_xlfn.XLOOKUP(A46,Tickets!A:A,Tickets!B:B)</f>
        <v>finalized</v>
      </c>
      <c r="H46" s="11" t="str">
        <f t="array" ref="H46">_xlfn.xlookup(A46,Tickets!A:A,Tickets!G:G)</f>
        <v>ເບິກເຄື່ອງໃຫ້ອາເຈັນຊີ້ປະຈຳເດືອນ 5 ແລະ ເບິກໃຊ້ຊັບພອດງານ ອີເວັ້ນ StartUp 2026</v>
      </c>
    </row>
    <row r="47">
      <c r="A47" s="1" t="s">
        <v>444</v>
      </c>
      <c r="B47" s="1" t="s">
        <v>405</v>
      </c>
      <c r="C47" s="1" t="s">
        <v>455</v>
      </c>
      <c r="D47" s="4">
        <v>20.0</v>
      </c>
      <c r="E47" s="4">
        <v>20.0</v>
      </c>
      <c r="F47" s="1" t="s">
        <v>201</v>
      </c>
      <c r="G47" s="11" t="str">
        <f t="array" ref="G47">_xlfn.XLOOKUP(A47,Tickets!A:A,Tickets!B:B)</f>
        <v>finalized</v>
      </c>
      <c r="H47" s="11" t="str">
        <f t="array" ref="H47">_xlfn.xlookup(A47,Tickets!A:A,Tickets!G:G)</f>
        <v>ເບິກເຄື່ອງໃຫ້ອາເຈັນຊີ້ປະຈຳເດືອນ 5 ແລະ ເບິກໃຊ້ຊັບພອດງານ ອີເວັ້ນ StartUp 2026</v>
      </c>
    </row>
    <row r="48">
      <c r="A48" s="1" t="s">
        <v>444</v>
      </c>
      <c r="B48" s="1" t="s">
        <v>395</v>
      </c>
      <c r="C48" s="1" t="s">
        <v>396</v>
      </c>
      <c r="D48" s="4">
        <v>50.0</v>
      </c>
      <c r="E48" s="4">
        <v>50.0</v>
      </c>
      <c r="F48" s="1" t="s">
        <v>201</v>
      </c>
      <c r="G48" s="11" t="str">
        <f t="array" ref="G48">_xlfn.XLOOKUP(A48,Tickets!A:A,Tickets!B:B)</f>
        <v>finalized</v>
      </c>
      <c r="H48" s="11" t="str">
        <f t="array" ref="H48">_xlfn.xlookup(A48,Tickets!A:A,Tickets!G:G)</f>
        <v>ເບິກເຄື່ອງໃຫ້ອາເຈັນຊີ້ປະຈຳເດືອນ 5 ແລະ ເບິກໃຊ້ຊັບພອດງານ ອີເວັ້ນ StartUp 2026</v>
      </c>
    </row>
    <row r="49">
      <c r="A49" s="14" t="s">
        <v>444</v>
      </c>
      <c r="B49" s="14" t="s">
        <v>428</v>
      </c>
      <c r="C49" s="14" t="s">
        <v>429</v>
      </c>
      <c r="D49" s="15">
        <v>1.0</v>
      </c>
      <c r="E49" s="14">
        <v>1.0</v>
      </c>
      <c r="F49" s="1" t="s">
        <v>156</v>
      </c>
      <c r="G49" s="11" t="str">
        <f t="array" ref="G49">_xlfn.XLOOKUP(A49,Tickets!A:A,Tickets!B:B)</f>
        <v>finalized</v>
      </c>
      <c r="H49" s="11" t="str">
        <f t="array" ref="H49">_xlfn.xlookup(A49,Tickets!A:A,Tickets!G:G)</f>
        <v>ເບິກເຄື່ອງໃຫ້ອາເຈັນຊີ້ປະຈຳເດືອນ 5 ແລະ ເບິກໃຊ້ຊັບພອດງານ ອີເວັ້ນ StartUp 2026</v>
      </c>
    </row>
    <row r="50">
      <c r="A50" s="1" t="s">
        <v>444</v>
      </c>
      <c r="B50" s="1" t="s">
        <v>266</v>
      </c>
      <c r="C50" s="1" t="s">
        <v>267</v>
      </c>
      <c r="D50" s="4">
        <v>80.0</v>
      </c>
      <c r="E50" s="4">
        <v>80.0</v>
      </c>
      <c r="F50" s="1" t="s">
        <v>39</v>
      </c>
      <c r="G50" s="11" t="str">
        <f t="array" ref="G50">_xlfn.XLOOKUP(A50,Tickets!A:A,Tickets!B:B)</f>
        <v>finalized</v>
      </c>
      <c r="H50" s="11" t="str">
        <f t="array" ref="H50">_xlfn.xlookup(A50,Tickets!A:A,Tickets!G:G)</f>
        <v>ເບິກເຄື່ອງໃຫ້ອາເຈັນຊີ້ປະຈຳເດືອນ 5 ແລະ ເບິກໃຊ້ຊັບພອດງານ ອີເວັ້ນ StartUp 2026</v>
      </c>
    </row>
    <row r="51">
      <c r="A51" s="1" t="s">
        <v>454</v>
      </c>
      <c r="B51" s="1" t="s">
        <v>456</v>
      </c>
      <c r="C51" s="1" t="s">
        <v>457</v>
      </c>
      <c r="D51" s="4">
        <v>2.0</v>
      </c>
      <c r="E51" s="4">
        <v>2.0</v>
      </c>
      <c r="F51" s="1" t="s">
        <v>156</v>
      </c>
      <c r="G51" s="11" t="str">
        <f t="array" ref="G51">_xlfn.XLOOKUP(A51,Tickets!A:A,Tickets!B:B)</f>
        <v>finalized</v>
      </c>
      <c r="H51" s="11" t="str">
        <f t="array" ref="H51">_xlfn.xlookup(A51,Tickets!A:A,Tickets!G:G)</f>
        <v>ຍື່ມມາໃຫ້ລຸງຍາມ ,ອ້າຍນ້ອງຕຳຫຼວດ</v>
      </c>
    </row>
    <row r="52">
      <c r="A52" s="1" t="s">
        <v>465</v>
      </c>
      <c r="B52" s="1" t="s">
        <v>33</v>
      </c>
      <c r="C52" s="1" t="s">
        <v>34</v>
      </c>
      <c r="D52" s="4">
        <v>50.0</v>
      </c>
      <c r="E52" s="4">
        <v>50.0</v>
      </c>
      <c r="F52" s="1" t="s">
        <v>39</v>
      </c>
      <c r="G52" s="11" t="str">
        <f t="array" ref="G52">_xlfn.XLOOKUP(A52,Tickets!A:A,Tickets!B:B)</f>
        <v>finalized</v>
      </c>
      <c r="H52" s="11" t="str">
        <f t="array" ref="H52">_xlfn.xlookup(A52,Tickets!A:A,Tickets!G:G)</f>
        <v>ເບີດເຄື່ອງໄວ້ສາງຊັ້ນ 6</v>
      </c>
    </row>
    <row r="53">
      <c r="A53" s="1" t="s">
        <v>474</v>
      </c>
      <c r="B53" s="1" t="s">
        <v>266</v>
      </c>
      <c r="C53" s="1" t="s">
        <v>267</v>
      </c>
      <c r="D53" s="4">
        <v>160.0</v>
      </c>
      <c r="E53" s="4">
        <v>160.0</v>
      </c>
      <c r="F53" s="1" t="s">
        <v>39</v>
      </c>
      <c r="G53" s="11" t="str">
        <f t="array" ref="G53">_xlfn.XLOOKUP(A53,Tickets!A:A,Tickets!B:B)</f>
        <v>finalized</v>
      </c>
      <c r="H53" s="11" t="str">
        <f t="array" ref="H53">_xlfn.xlookup(A53,Tickets!A:A,Tickets!G:G)</f>
        <v>ເບີກເຄື່ອງໄວ້ສາງຊັ້ນ 6</v>
      </c>
    </row>
    <row r="54">
      <c r="A54" s="1" t="s">
        <v>474</v>
      </c>
      <c r="B54" s="1" t="s">
        <v>56</v>
      </c>
      <c r="C54" s="1" t="s">
        <v>58</v>
      </c>
      <c r="D54" s="4">
        <v>100.0</v>
      </c>
      <c r="E54" s="4">
        <v>200.0</v>
      </c>
      <c r="F54" s="1" t="s">
        <v>39</v>
      </c>
      <c r="G54" s="11" t="str">
        <f t="array" ref="G54">_xlfn.XLOOKUP(A54,Tickets!A:A,Tickets!B:B)</f>
        <v>finalized</v>
      </c>
      <c r="H54" s="11" t="str">
        <f t="array" ref="H54">_xlfn.xlookup(A54,Tickets!A:A,Tickets!G:G)</f>
        <v>ເບີກເຄື່ອງໄວ້ສາງຊັ້ນ 6</v>
      </c>
    </row>
    <row r="55">
      <c r="A55" s="1" t="s">
        <v>478</v>
      </c>
      <c r="B55" s="1" t="s">
        <v>272</v>
      </c>
      <c r="C55" s="1" t="s">
        <v>273</v>
      </c>
      <c r="D55" s="1">
        <v>14.0</v>
      </c>
      <c r="E55" s="1">
        <v>14.0</v>
      </c>
      <c r="F55" s="1" t="s">
        <v>39</v>
      </c>
      <c r="G55" s="11" t="str">
        <f t="array" ref="G55">_xlfn.XLOOKUP(A55,Tickets!A:A,Tickets!B:B)</f>
        <v>finalized</v>
      </c>
      <c r="H55" s="11" t="str">
        <f t="array" ref="H55">_xlfn.xlookup(A55,Tickets!A:A,Tickets!G:G)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6">
      <c r="A56" s="1" t="s">
        <v>478</v>
      </c>
      <c r="B56" s="1" t="s">
        <v>325</v>
      </c>
      <c r="C56" s="1" t="s">
        <v>326</v>
      </c>
      <c r="D56" s="4">
        <v>400.0</v>
      </c>
      <c r="E56" s="4">
        <v>400.0</v>
      </c>
      <c r="F56" s="1" t="s">
        <v>201</v>
      </c>
      <c r="G56" s="11" t="str">
        <f t="array" ref="G56">_xlfn.XLOOKUP(A56,Tickets!A:A,Tickets!B:B)</f>
        <v>finalized</v>
      </c>
      <c r="H56" s="11" t="str">
        <f t="array" ref="H56">_xlfn.xlookup(A56,Tickets!A:A,Tickets!G:G)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7">
      <c r="A57" s="1" t="s">
        <v>478</v>
      </c>
      <c r="B57" s="1" t="s">
        <v>412</v>
      </c>
      <c r="C57" s="1" t="s">
        <v>413</v>
      </c>
      <c r="D57" s="4">
        <v>80.0</v>
      </c>
      <c r="E57" s="4">
        <v>80.0</v>
      </c>
      <c r="F57" s="1" t="s">
        <v>201</v>
      </c>
      <c r="G57" s="11" t="str">
        <f t="array" ref="G57">_xlfn.XLOOKUP(A57,Tickets!A:A,Tickets!B:B)</f>
        <v>finalized</v>
      </c>
      <c r="H57" s="11" t="str">
        <f t="array" ref="H57">_xlfn.xlookup(A57,Tickets!A:A,Tickets!G:G)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8">
      <c r="A58" s="1" t="s">
        <v>478</v>
      </c>
      <c r="B58" s="1" t="s">
        <v>405</v>
      </c>
      <c r="C58" s="1" t="s">
        <v>455</v>
      </c>
      <c r="D58" s="4">
        <v>75.0</v>
      </c>
      <c r="E58" s="4">
        <v>75.0</v>
      </c>
      <c r="F58" s="1" t="s">
        <v>201</v>
      </c>
      <c r="G58" s="11" t="str">
        <f t="array" ref="G58">_xlfn.XLOOKUP(A58,Tickets!A:A,Tickets!B:B)</f>
        <v>finalized</v>
      </c>
      <c r="H58" s="11" t="str">
        <f t="array" ref="H58">_xlfn.xlookup(A58,Tickets!A:A,Tickets!G:G)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59">
      <c r="A59" s="1" t="s">
        <v>478</v>
      </c>
      <c r="B59" s="1" t="s">
        <v>395</v>
      </c>
      <c r="C59" s="1" t="s">
        <v>396</v>
      </c>
      <c r="D59" s="1">
        <v>300.0</v>
      </c>
      <c r="E59" s="1">
        <v>300.0</v>
      </c>
      <c r="F59" s="1" t="s">
        <v>201</v>
      </c>
      <c r="G59" s="11" t="str">
        <f t="array" ref="G59">_xlfn.XLOOKUP(A59,Tickets!A:A,Tickets!B:B)</f>
        <v>finalized</v>
      </c>
      <c r="H59" s="11" t="str">
        <f t="array" ref="H59">_xlfn.xlookup(A59,Tickets!A:A,Tickets!G:G)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0">
      <c r="A60" s="1" t="s">
        <v>478</v>
      </c>
      <c r="B60" s="1" t="s">
        <v>428</v>
      </c>
      <c r="C60" s="1" t="s">
        <v>429</v>
      </c>
      <c r="D60" s="1">
        <v>40.0</v>
      </c>
      <c r="E60" s="1">
        <v>40.0</v>
      </c>
      <c r="F60" s="1" t="s">
        <v>156</v>
      </c>
      <c r="G60" s="11" t="str">
        <f t="array" ref="G60">_xlfn.XLOOKUP(A60,Tickets!A:A,Tickets!B:B)</f>
        <v>finalized</v>
      </c>
      <c r="H60" s="11" t="str">
        <f t="array" ref="H60">_xlfn.xlookup(A60,Tickets!A:A,Tickets!G:G)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1">
      <c r="A61" s="1" t="s">
        <v>478</v>
      </c>
      <c r="B61" s="1" t="s">
        <v>441</v>
      </c>
      <c r="C61" s="1" t="s">
        <v>445</v>
      </c>
      <c r="D61" s="4">
        <v>30.0</v>
      </c>
      <c r="E61" s="4">
        <v>30.0</v>
      </c>
      <c r="F61" s="1" t="s">
        <v>201</v>
      </c>
      <c r="G61" s="11" t="str">
        <f t="array" ref="G61">_xlfn.XLOOKUP(A61,Tickets!A:A,Tickets!B:B)</f>
        <v>finalized</v>
      </c>
      <c r="H61" s="11" t="str">
        <f t="array" ref="H61">_xlfn.xlookup(A61,Tickets!A:A,Tickets!G:G)</f>
        <v>BTL ເບີກເຄື່ອງອອກບູດປະຈຳຫນ້າຮ້ານ 3ສາຂາ ເເລະ ເຄື່ອງເເຈກໃຫ້ບູດກິດຈະກຳຂອງທາງD-Day Agency</v>
      </c>
    </row>
    <row r="62">
      <c r="A62" s="1" t="s">
        <v>486</v>
      </c>
      <c r="B62" s="1" t="s">
        <v>56</v>
      </c>
      <c r="C62" s="1" t="s">
        <v>58</v>
      </c>
      <c r="D62" s="1">
        <v>349.0</v>
      </c>
      <c r="E62" s="1">
        <v>349.0</v>
      </c>
      <c r="F62" s="1" t="s">
        <v>39</v>
      </c>
      <c r="G62" s="11" t="str">
        <f t="array" ref="G62">_xlfn.XLOOKUP(A62,Tickets!A:A,Tickets!B:B)</f>
        <v>finalized</v>
      </c>
      <c r="H62" s="11" t="str">
        <f t="array" ref="H62">_xlfn.xlookup(A62,Tickets!A:A,Tickets!G:G)</f>
        <v>ເບີກເຄື່ອງໄວ້ສາງຊັ້ນ 6</v>
      </c>
    </row>
    <row r="63">
      <c r="A63" s="1" t="s">
        <v>486</v>
      </c>
      <c r="B63" s="1" t="s">
        <v>272</v>
      </c>
      <c r="C63" s="1" t="s">
        <v>273</v>
      </c>
      <c r="D63" s="4">
        <v>25.0</v>
      </c>
      <c r="E63" s="4">
        <v>25.0</v>
      </c>
      <c r="F63" s="1" t="s">
        <v>39</v>
      </c>
      <c r="G63" s="11" t="str">
        <f t="array" ref="G63">_xlfn.XLOOKUP(A63,Tickets!A:A,Tickets!B:B)</f>
        <v>finalized</v>
      </c>
      <c r="H63" s="11" t="str">
        <f t="array" ref="H63">_xlfn.xlookup(A63,Tickets!A:A,Tickets!G:G)</f>
        <v>ເບີກເຄື່ອງໄວ້ສາງຊັ້ນ 6</v>
      </c>
    </row>
    <row r="64">
      <c r="A64" s="1" t="s">
        <v>486</v>
      </c>
      <c r="B64" s="1" t="s">
        <v>291</v>
      </c>
      <c r="C64" s="1" t="s">
        <v>292</v>
      </c>
      <c r="D64" s="4">
        <v>21.0</v>
      </c>
      <c r="E64" s="4">
        <v>21.0</v>
      </c>
      <c r="F64" s="1" t="s">
        <v>39</v>
      </c>
      <c r="G64" s="11" t="str">
        <f t="array" ref="G64">_xlfn.XLOOKUP(A64,Tickets!A:A,Tickets!B:B)</f>
        <v>finalized</v>
      </c>
      <c r="H64" s="11" t="str">
        <f t="array" ref="H64">_xlfn.xlookup(A64,Tickets!A:A,Tickets!G:G)</f>
        <v>ເບີກເຄື່ອງໄວ້ສາງຊັ້ນ 6</v>
      </c>
    </row>
    <row r="65">
      <c r="A65" s="1" t="s">
        <v>486</v>
      </c>
      <c r="B65" s="1" t="s">
        <v>266</v>
      </c>
      <c r="C65" s="1" t="s">
        <v>267</v>
      </c>
      <c r="D65" s="1">
        <v>100.0</v>
      </c>
      <c r="E65" s="1">
        <v>100.0</v>
      </c>
      <c r="F65" s="1" t="s">
        <v>39</v>
      </c>
      <c r="G65" s="11" t="str">
        <f t="array" ref="G65">_xlfn.XLOOKUP(A65,Tickets!A:A,Tickets!B:B)</f>
        <v>finalized</v>
      </c>
      <c r="H65" s="11" t="str">
        <f t="array" ref="H65">_xlfn.xlookup(A65,Tickets!A:A,Tickets!G:G)</f>
        <v>ເບີກເຄື່ອງໄວ້ສາງຊັ້ນ 6</v>
      </c>
    </row>
    <row r="66">
      <c r="A66" s="1" t="s">
        <v>490</v>
      </c>
      <c r="B66" s="1" t="s">
        <v>266</v>
      </c>
      <c r="C66" s="1" t="s">
        <v>267</v>
      </c>
      <c r="D66" s="1">
        <v>40.0</v>
      </c>
      <c r="E66" s="14">
        <v>40.0</v>
      </c>
      <c r="F66" s="1" t="s">
        <v>39</v>
      </c>
      <c r="G66" s="11" t="str">
        <f t="array" ref="G66">_xlfn.XLOOKUP(A66,Tickets!A:A,Tickets!B:B)</f>
        <v>finalized</v>
      </c>
      <c r="H66" s="11" t="str">
        <f t="array" ref="H66">_xlfn.xlookup(A66,Tickets!A:A,Tickets!G:G)</f>
        <v>ເບີກເຄື່ອງໄວ້ສາງຊັ້ນ6</v>
      </c>
    </row>
    <row r="67">
      <c r="A67" s="1" t="s">
        <v>490</v>
      </c>
      <c r="B67" s="1" t="s">
        <v>272</v>
      </c>
      <c r="C67" s="1" t="s">
        <v>273</v>
      </c>
      <c r="D67" s="1">
        <v>65.0</v>
      </c>
      <c r="E67" s="14">
        <v>65.0</v>
      </c>
      <c r="F67" s="1" t="s">
        <v>39</v>
      </c>
      <c r="G67" s="11" t="str">
        <f t="array" ref="G67">_xlfn.XLOOKUP(A67,Tickets!A:A,Tickets!B:B)</f>
        <v>finalized</v>
      </c>
      <c r="H67" s="11" t="str">
        <f t="array" ref="H67">_xlfn.xlookup(A67,Tickets!A:A,Tickets!G:G)</f>
        <v>ເບີກເຄື່ອງໄວ້ສາງຊັ້ນ6</v>
      </c>
    </row>
    <row r="68">
      <c r="A68" s="1" t="s">
        <v>490</v>
      </c>
      <c r="B68" s="1" t="s">
        <v>217</v>
      </c>
      <c r="C68" s="1" t="s">
        <v>315</v>
      </c>
      <c r="D68" s="4">
        <v>50.0</v>
      </c>
      <c r="E68" s="14">
        <v>50.0</v>
      </c>
      <c r="F68" s="1" t="s">
        <v>39</v>
      </c>
      <c r="G68" s="11" t="str">
        <f t="array" ref="G68">_xlfn.XLOOKUP(A68,Tickets!A:A,Tickets!B:B)</f>
        <v>finalized</v>
      </c>
      <c r="H68" s="11" t="str">
        <f t="array" ref="H68">_xlfn.xlookup(A68,Tickets!A:A,Tickets!G:G)</f>
        <v>ເບີກເຄື່ອງໄວ້ສາງຊັ້ນ6</v>
      </c>
    </row>
    <row r="69">
      <c r="A69" s="1" t="s">
        <v>497</v>
      </c>
      <c r="B69" s="1" t="s">
        <v>321</v>
      </c>
      <c r="C69" s="1" t="s">
        <v>322</v>
      </c>
      <c r="D69" s="4">
        <v>10.0</v>
      </c>
      <c r="E69" s="14">
        <v>10.0</v>
      </c>
      <c r="F69" s="1" t="s">
        <v>323</v>
      </c>
      <c r="G69" s="11" t="str">
        <f t="array" ref="G69">_xlfn.XLOOKUP(A69,Tickets!A:A,Tickets!B:B)</f>
        <v>finalized</v>
      </c>
      <c r="H69" s="11" t="str">
        <f t="array" ref="H69">_xlfn.xlookup(A69,Tickets!A:A,Tickets!G:G)</f>
        <v>ເບີກໃຫ້ກອງເລຂາ ຕອ້ນຮັບແຂກທາງຫ້ອງການ KPV</v>
      </c>
    </row>
    <row r="70">
      <c r="A70" s="1" t="s">
        <v>505</v>
      </c>
      <c r="B70" s="1" t="s">
        <v>321</v>
      </c>
      <c r="C70" s="1" t="s">
        <v>322</v>
      </c>
      <c r="D70" s="4">
        <v>20.0</v>
      </c>
      <c r="E70" s="14">
        <v>20.0</v>
      </c>
      <c r="F70" s="1" t="s">
        <v>323</v>
      </c>
      <c r="G70" s="11" t="str">
        <f t="array" ref="G70">_xlfn.XLOOKUP(A70,Tickets!A:A,Tickets!B:B)</f>
        <v>finalized</v>
      </c>
      <c r="H70" s="11" t="str">
        <f t="array" ref="H70">_xlfn.xlookup(A70,Tickets!A:A,Tickets!G:G)</f>
        <v>ໄວຮັບແຂກ ຜູ້ອຳນວຍການ</v>
      </c>
    </row>
    <row r="71">
      <c r="A71" s="1" t="s">
        <v>512</v>
      </c>
      <c r="B71" s="1" t="s">
        <v>428</v>
      </c>
      <c r="C71" s="1" t="s">
        <v>429</v>
      </c>
      <c r="D71" s="4">
        <v>100.0</v>
      </c>
      <c r="E71" s="4">
        <v>100.0</v>
      </c>
      <c r="F71" s="1" t="s">
        <v>156</v>
      </c>
      <c r="G71" s="11" t="str">
        <f t="array" ref="G71">_xlfn.XLOOKUP(A71,Tickets!A:A,Tickets!B:B)</f>
        <v>finalized</v>
      </c>
      <c r="H71" s="11" t="str">
        <f t="array" ref="H71">_xlfn.xlookup(A71,Tickets!A:A,Tickets!G:G)</f>
        <v>ເບີກເຄື່ອງໄວ້ໄຫ້ລູກຄ້າແລກ easy point</v>
      </c>
    </row>
    <row r="72">
      <c r="A72" s="1" t="s">
        <v>512</v>
      </c>
      <c r="B72" s="1" t="s">
        <v>395</v>
      </c>
      <c r="C72" s="1" t="s">
        <v>396</v>
      </c>
      <c r="D72" s="4">
        <v>200.0</v>
      </c>
      <c r="E72" s="4">
        <v>200.0</v>
      </c>
      <c r="F72" s="1" t="s">
        <v>201</v>
      </c>
      <c r="G72" s="11" t="str">
        <f t="array" ref="G72">_xlfn.XLOOKUP(A72,Tickets!A:A,Tickets!B:B)</f>
        <v>finalized</v>
      </c>
      <c r="H72" s="11" t="str">
        <f t="array" ref="H72">_xlfn.xlookup(A72,Tickets!A:A,Tickets!G:G)</f>
        <v>ເບີກເຄື່ອງໄວ້ໄຫ້ລູກຄ້າແລກ easy point</v>
      </c>
    </row>
    <row r="73">
      <c r="A73" s="1" t="s">
        <v>512</v>
      </c>
      <c r="B73" s="1" t="s">
        <v>441</v>
      </c>
      <c r="C73" s="1" t="s">
        <v>445</v>
      </c>
      <c r="D73" s="4">
        <v>100.0</v>
      </c>
      <c r="E73" s="4">
        <v>100.0</v>
      </c>
      <c r="F73" s="1" t="s">
        <v>201</v>
      </c>
      <c r="G73" s="11" t="str">
        <f t="array" ref="G73">_xlfn.XLOOKUP(A73,Tickets!A:A,Tickets!B:B)</f>
        <v>finalized</v>
      </c>
      <c r="H73" s="11" t="str">
        <f t="array" ref="H73">_xlfn.xlookup(A73,Tickets!A:A,Tickets!G:G)</f>
        <v>ເບີກເຄື່ອງໄວ້ໄຫ້ລູກຄ້າແລກ easy point</v>
      </c>
    </row>
    <row r="74">
      <c r="A74" s="1" t="s">
        <v>521</v>
      </c>
      <c r="B74" s="1" t="s">
        <v>291</v>
      </c>
      <c r="C74" s="1" t="s">
        <v>292</v>
      </c>
      <c r="D74" s="1">
        <v>50.0</v>
      </c>
      <c r="E74" s="1">
        <v>50.0</v>
      </c>
      <c r="F74" s="1" t="s">
        <v>39</v>
      </c>
      <c r="G74" s="11" t="str">
        <f t="array" ref="G74">_xlfn.XLOOKUP(A74,Tickets!A:A,Tickets!B:B)</f>
        <v>finalized</v>
      </c>
      <c r="H74" s="11" t="str">
        <f t="array" ref="H74">_xlfn.xlookup(A74,Tickets!A:A,Tickets!G:G)</f>
        <v>ເບີກເຄື່ອງໄວ້ໄຫ້ລູກຄ້າແລກ easy point</v>
      </c>
    </row>
    <row r="75">
      <c r="A75" s="1" t="s">
        <v>525</v>
      </c>
      <c r="B75" s="1" t="s">
        <v>266</v>
      </c>
      <c r="C75" s="1" t="s">
        <v>267</v>
      </c>
      <c r="D75" s="4">
        <v>110.0</v>
      </c>
      <c r="E75" s="4">
        <v>110.0</v>
      </c>
      <c r="F75" s="1" t="s">
        <v>39</v>
      </c>
      <c r="G75" s="11" t="str">
        <f t="array" ref="G75">_xlfn.XLOOKUP(A75,Tickets!A:A,Tickets!B:B)</f>
        <v>finalized</v>
      </c>
      <c r="H75" s="11" t="str">
        <f t="array" ref="H75">_xlfn.xlookup(A75,Tickets!A:A,Tickets!G:G)</f>
        <v>BTL</v>
      </c>
    </row>
    <row r="76">
      <c r="A76" s="1" t="s">
        <v>525</v>
      </c>
      <c r="B76" s="1" t="s">
        <v>272</v>
      </c>
      <c r="C76" s="1" t="s">
        <v>273</v>
      </c>
      <c r="D76" s="4">
        <v>10.0</v>
      </c>
      <c r="E76" s="4">
        <v>10.0</v>
      </c>
      <c r="F76" s="1" t="s">
        <v>39</v>
      </c>
      <c r="G76" s="11" t="str">
        <f t="array" ref="G76">_xlfn.XLOOKUP(A76,Tickets!A:A,Tickets!B:B)</f>
        <v>finalized</v>
      </c>
      <c r="H76" s="11" t="str">
        <f t="array" ref="H76">_xlfn.xlookup(A76,Tickets!A:A,Tickets!G:G)</f>
        <v>BTL</v>
      </c>
    </row>
    <row r="77">
      <c r="A77" s="1" t="s">
        <v>525</v>
      </c>
      <c r="B77" s="1" t="s">
        <v>321</v>
      </c>
      <c r="C77" s="1" t="s">
        <v>322</v>
      </c>
      <c r="D77" s="4">
        <v>20.0</v>
      </c>
      <c r="E77" s="4">
        <v>20.0</v>
      </c>
      <c r="F77" s="1" t="s">
        <v>323</v>
      </c>
      <c r="G77" s="11" t="str">
        <f t="array" ref="G77">_xlfn.XLOOKUP(A77,Tickets!A:A,Tickets!B:B)</f>
        <v>finalized</v>
      </c>
      <c r="H77" s="11" t="str">
        <f t="array" ref="H77">_xlfn.xlookup(A77,Tickets!A:A,Tickets!G:G)</f>
        <v>BTL</v>
      </c>
    </row>
    <row r="78">
      <c r="A78" s="1" t="s">
        <v>530</v>
      </c>
      <c r="B78" s="1" t="s">
        <v>291</v>
      </c>
      <c r="C78" s="1" t="s">
        <v>292</v>
      </c>
      <c r="D78" s="4">
        <v>50.0</v>
      </c>
      <c r="E78" s="4">
        <v>50.0</v>
      </c>
      <c r="F78" s="1" t="s">
        <v>39</v>
      </c>
      <c r="G78" s="11" t="str">
        <f t="array" ref="G78">_xlfn.XLOOKUP(A78,Tickets!A:A,Tickets!B:B)</f>
        <v>finalized</v>
      </c>
      <c r="H78" s="11" t="str">
        <f t="array" ref="H78">_xlfn.xlookup(A78,Tickets!A:A,Tickets!G:G)</f>
        <v>ເບີກເຄຶ່ອງແຄມເປນ Cashback</v>
      </c>
    </row>
    <row r="79">
      <c r="A79" s="1" t="s">
        <v>530</v>
      </c>
      <c r="B79" s="1" t="s">
        <v>266</v>
      </c>
      <c r="C79" s="1" t="s">
        <v>267</v>
      </c>
      <c r="D79" s="4">
        <v>50.0</v>
      </c>
      <c r="E79" s="4">
        <v>50.0</v>
      </c>
      <c r="F79" s="1" t="s">
        <v>39</v>
      </c>
      <c r="G79" s="11" t="str">
        <f t="array" ref="G79">_xlfn.XLOOKUP(A79,Tickets!A:A,Tickets!B:B)</f>
        <v>finalized</v>
      </c>
      <c r="H79" s="11" t="str">
        <f t="array" ref="H79">_xlfn.xlookup(A79,Tickets!A:A,Tickets!G:G)</f>
        <v>ເບີກເຄຶ່ອງແຄມເປນ Cashback</v>
      </c>
    </row>
    <row r="80">
      <c r="A80" s="1" t="s">
        <v>535</v>
      </c>
      <c r="B80" s="1" t="s">
        <v>291</v>
      </c>
      <c r="C80" s="1" t="s">
        <v>292</v>
      </c>
      <c r="D80" s="1">
        <v>55.0</v>
      </c>
      <c r="E80" s="1">
        <v>55.0</v>
      </c>
      <c r="F80" s="1" t="s">
        <v>39</v>
      </c>
      <c r="G80" s="11" t="str">
        <f t="array" ref="G80">_xlfn.XLOOKUP(A80,Tickets!A:A,Tickets!B:B)</f>
        <v>finalized</v>
      </c>
      <c r="H80" s="11" t="str">
        <f t="array" ref="H80">_xlfn.xlookup(A80,Tickets!A:A,Tickets!G:G)</f>
        <v>ເບີກເຄື່ອງໄວ້ສາງຊັ້ນ6 ໄວ້ໄຫ້ລູກຄ້າ easy point</v>
      </c>
    </row>
    <row r="81">
      <c r="A81" s="1" t="s">
        <v>535</v>
      </c>
      <c r="B81" s="1" t="s">
        <v>266</v>
      </c>
      <c r="C81" s="1" t="s">
        <v>267</v>
      </c>
      <c r="D81" s="4">
        <v>400.0</v>
      </c>
      <c r="E81" s="4">
        <v>400.0</v>
      </c>
      <c r="F81" s="1" t="s">
        <v>39</v>
      </c>
      <c r="G81" s="11" t="str">
        <f t="array" ref="G81">_xlfn.XLOOKUP(A81,Tickets!A:A,Tickets!B:B)</f>
        <v>finalized</v>
      </c>
      <c r="H81" s="11" t="str">
        <f t="array" ref="H81">_xlfn.xlookup(A81,Tickets!A:A,Tickets!G:G)</f>
        <v>ເບີກເຄື່ອງໄວ້ສາງຊັ້ນ6 ໄວ້ໄຫ້ລູກຄ້າ easy point</v>
      </c>
    </row>
    <row r="82">
      <c r="A82" s="1" t="s">
        <v>535</v>
      </c>
      <c r="B82" s="1" t="s">
        <v>272</v>
      </c>
      <c r="C82" s="1" t="s">
        <v>273</v>
      </c>
      <c r="D82" s="4">
        <v>25.0</v>
      </c>
      <c r="E82" s="4">
        <v>25.0</v>
      </c>
      <c r="F82" s="1" t="s">
        <v>39</v>
      </c>
      <c r="G82" s="11" t="str">
        <f t="array" ref="G82">_xlfn.XLOOKUP(A82,Tickets!A:A,Tickets!B:B)</f>
        <v>finalized</v>
      </c>
      <c r="H82" s="11" t="str">
        <f t="array" ref="H82">_xlfn.xlookup(A82,Tickets!A:A,Tickets!G:G)</f>
        <v>ເບີກເຄື່ອງໄວ້ສາງຊັ້ນ6 ໄວ້ໄຫ້ລູກຄ້າ easy point</v>
      </c>
    </row>
    <row r="83">
      <c r="A83" s="1" t="s">
        <v>543</v>
      </c>
      <c r="B83" s="1" t="s">
        <v>360</v>
      </c>
      <c r="C83" s="1" t="s">
        <v>362</v>
      </c>
      <c r="D83" s="4">
        <v>1.0</v>
      </c>
      <c r="E83" s="4">
        <v>1.0</v>
      </c>
      <c r="F83" s="1" t="s">
        <v>201</v>
      </c>
      <c r="G83" s="11" t="str">
        <f t="array" ref="G83">_xlfn.XLOOKUP(A83,Tickets!A:A,Tickets!B:B)</f>
        <v>finalized</v>
      </c>
      <c r="H83" s="11" t="str">
        <f t="array" ref="H83">_xlfn.xlookup(A83,Tickets!A:A,Tickets!G:G)</f>
        <v>Join Wii fair - Walk in interview event</v>
      </c>
    </row>
    <row r="84">
      <c r="A84" s="1" t="s">
        <v>543</v>
      </c>
      <c r="B84" s="1" t="s">
        <v>262</v>
      </c>
      <c r="C84" s="1" t="s">
        <v>263</v>
      </c>
      <c r="D84" s="4">
        <v>50.0</v>
      </c>
      <c r="E84" s="4">
        <v>50.0</v>
      </c>
      <c r="F84" s="1" t="s">
        <v>39</v>
      </c>
      <c r="G84" s="11" t="str">
        <f t="array" ref="G84">_xlfn.XLOOKUP(A84,Tickets!A:A,Tickets!B:B)</f>
        <v>finalized</v>
      </c>
      <c r="H84" s="11" t="str">
        <f t="array" ref="H84">_xlfn.xlookup(A84,Tickets!A:A,Tickets!G:G)</f>
        <v>Join Wii fair - Walk in interview event</v>
      </c>
    </row>
    <row r="85">
      <c r="A85" s="1" t="s">
        <v>543</v>
      </c>
      <c r="B85" s="1" t="s">
        <v>395</v>
      </c>
      <c r="C85" s="1" t="s">
        <v>396</v>
      </c>
      <c r="D85" s="4">
        <v>20.0</v>
      </c>
      <c r="E85" s="4">
        <v>20.0</v>
      </c>
      <c r="F85" s="1" t="s">
        <v>201</v>
      </c>
      <c r="G85" s="11" t="str">
        <f t="array" ref="G85">_xlfn.XLOOKUP(A85,Tickets!A:A,Tickets!B:B)</f>
        <v>finalized</v>
      </c>
      <c r="H85" s="11" t="str">
        <f t="array" ref="H85">_xlfn.xlookup(A85,Tickets!A:A,Tickets!G:G)</f>
        <v>Join Wii fair - Walk in interview event</v>
      </c>
    </row>
    <row r="86">
      <c r="A86" s="1" t="s">
        <v>543</v>
      </c>
      <c r="B86" s="1" t="s">
        <v>266</v>
      </c>
      <c r="C86" s="1" t="s">
        <v>267</v>
      </c>
      <c r="D86" s="4">
        <v>3.0</v>
      </c>
      <c r="E86" s="4">
        <v>3.0</v>
      </c>
      <c r="F86" s="1" t="s">
        <v>39</v>
      </c>
      <c r="G86" s="11" t="str">
        <f t="array" ref="G86">_xlfn.XLOOKUP(A86,Tickets!A:A,Tickets!B:B)</f>
        <v>finalized</v>
      </c>
      <c r="H86" s="11" t="str">
        <f t="array" ref="H86">_xlfn.xlookup(A86,Tickets!A:A,Tickets!G:G)</f>
        <v>Join Wii fair - Walk in interview event</v>
      </c>
    </row>
    <row r="87">
      <c r="A87" s="14" t="s">
        <v>543</v>
      </c>
      <c r="B87" s="14" t="s">
        <v>376</v>
      </c>
      <c r="C87" s="14" t="s">
        <v>828</v>
      </c>
      <c r="D87" s="15">
        <v>2.0</v>
      </c>
      <c r="E87" s="15"/>
      <c r="F87" s="1" t="s">
        <v>201</v>
      </c>
      <c r="G87" s="11" t="str">
        <f t="array" ref="G87">_xlfn.XLOOKUP(A87,Tickets!A:A,Tickets!B:B)</f>
        <v>finalized</v>
      </c>
      <c r="H87" s="11" t="str">
        <f t="array" ref="H87">_xlfn.xlookup(A87,Tickets!A:A,Tickets!G:G)</f>
        <v>Join Wii fair - Walk in interview event</v>
      </c>
    </row>
    <row r="88">
      <c r="A88" s="1" t="s">
        <v>550</v>
      </c>
      <c r="B88" s="1" t="s">
        <v>163</v>
      </c>
      <c r="C88" s="1" t="s">
        <v>164</v>
      </c>
      <c r="D88" s="4">
        <v>70.0</v>
      </c>
      <c r="E88" s="4">
        <v>70.0</v>
      </c>
      <c r="F88" s="1" t="s">
        <v>201</v>
      </c>
      <c r="G88" s="11" t="str">
        <f t="array" ref="G88">_xlfn.XLOOKUP(A88,Tickets!A:A,Tickets!B:B)</f>
        <v>finalized</v>
      </c>
      <c r="H88" s="11" t="str">
        <f t="array" ref="H88">_xlfn.xlookup(A88,Tickets!A:A,Tickets!G:G)</f>
        <v>ເບີກໄວ້ໃສ່ເຄື່ອງໄຫ້ລູກຄ້າ</v>
      </c>
    </row>
    <row r="89">
      <c r="A89" s="1" t="s">
        <v>558</v>
      </c>
      <c r="B89" s="1" t="s">
        <v>272</v>
      </c>
      <c r="C89" s="1" t="s">
        <v>273</v>
      </c>
      <c r="D89" s="4">
        <v>25.0</v>
      </c>
      <c r="E89" s="4">
        <v>25.0</v>
      </c>
      <c r="F89" s="1" t="s">
        <v>39</v>
      </c>
      <c r="G89" s="11" t="str">
        <f t="array" ref="G89">_xlfn.XLOOKUP(A89,Tickets!A:A,Tickets!B:B)</f>
        <v>finalized</v>
      </c>
      <c r="H89" s="11" t="str">
        <f t="array" ref="H89">_xlfn.xlookup(A89,Tickets!A:A,Tickets!G:G)</f>
        <v>ເບີກເຄື່ອງໄຫ້ລູກຄ້າ ແລກ easy point</v>
      </c>
    </row>
    <row r="90">
      <c r="A90" s="1" t="s">
        <v>558</v>
      </c>
      <c r="B90" s="1" t="s">
        <v>291</v>
      </c>
      <c r="C90" s="1" t="s">
        <v>292</v>
      </c>
      <c r="D90" s="4">
        <v>1.0</v>
      </c>
      <c r="E90" s="4">
        <v>50.0</v>
      </c>
      <c r="F90" s="1" t="s">
        <v>39</v>
      </c>
      <c r="G90" s="11" t="str">
        <f t="array" ref="G90">_xlfn.XLOOKUP(A90,Tickets!A:A,Tickets!B:B)</f>
        <v>finalized</v>
      </c>
      <c r="H90" s="11" t="str">
        <f t="array" ref="H90">_xlfn.xlookup(A90,Tickets!A:A,Tickets!G:G)</f>
        <v>ເບີກເຄື່ອງໄຫ້ລູກຄ້າ ແລກ easy point</v>
      </c>
    </row>
    <row r="91">
      <c r="A91" s="1" t="s">
        <v>558</v>
      </c>
      <c r="B91" s="1" t="s">
        <v>428</v>
      </c>
      <c r="C91" s="1" t="s">
        <v>429</v>
      </c>
      <c r="D91" s="4">
        <v>30.0</v>
      </c>
      <c r="E91" s="4">
        <v>30.0</v>
      </c>
      <c r="F91" s="1" t="s">
        <v>156</v>
      </c>
      <c r="G91" s="11" t="str">
        <f t="array" ref="G91">_xlfn.XLOOKUP(A91,Tickets!A:A,Tickets!B:B)</f>
        <v>finalized</v>
      </c>
      <c r="H91" s="11" t="str">
        <f t="array" ref="H91">_xlfn.xlookup(A91,Tickets!A:A,Tickets!G:G)</f>
        <v>ເບີກເຄື່ອງໄຫ້ລູກຄ້າ ແລກ easy point</v>
      </c>
    </row>
    <row r="92">
      <c r="A92" s="1" t="s">
        <v>558</v>
      </c>
      <c r="B92" s="1" t="s">
        <v>33</v>
      </c>
      <c r="C92" s="1" t="s">
        <v>34</v>
      </c>
      <c r="D92" s="4">
        <v>1.0</v>
      </c>
      <c r="E92" s="4">
        <v>1.0</v>
      </c>
      <c r="F92" s="1" t="s">
        <v>39</v>
      </c>
      <c r="G92" s="11" t="str">
        <f t="array" ref="G92">_xlfn.XLOOKUP(A92,Tickets!A:A,Tickets!B:B)</f>
        <v>finalized</v>
      </c>
      <c r="H92" s="11" t="str">
        <f t="array" ref="H92">_xlfn.xlookup(A92,Tickets!A:A,Tickets!G:G)</f>
        <v>ເບີກເຄື່ອງໄຫ້ລູກຄ້າ ແລກ easy point</v>
      </c>
    </row>
    <row r="93">
      <c r="A93" s="1" t="s">
        <v>558</v>
      </c>
      <c r="B93" s="1" t="s">
        <v>405</v>
      </c>
      <c r="C93" s="1" t="s">
        <v>455</v>
      </c>
      <c r="D93" s="4">
        <v>7.0</v>
      </c>
      <c r="E93" s="4">
        <v>7.0</v>
      </c>
      <c r="F93" s="1" t="s">
        <v>201</v>
      </c>
      <c r="G93" s="11" t="str">
        <f t="array" ref="G93">_xlfn.XLOOKUP(A93,Tickets!A:A,Tickets!B:B)</f>
        <v>finalized</v>
      </c>
      <c r="H93" s="11" t="str">
        <f t="array" ref="H93">_xlfn.xlookup(A93,Tickets!A:A,Tickets!G:G)</f>
        <v>ເບີກເຄື່ອງໄຫ້ລູກຄ້າ ແລກ easy point</v>
      </c>
    </row>
    <row r="94">
      <c r="A94" s="1" t="s">
        <v>562</v>
      </c>
      <c r="B94" s="1" t="s">
        <v>262</v>
      </c>
      <c r="C94" s="1" t="s">
        <v>263</v>
      </c>
      <c r="D94" s="4">
        <v>80.0</v>
      </c>
      <c r="E94" s="1">
        <v>135.0</v>
      </c>
      <c r="F94" s="1" t="s">
        <v>39</v>
      </c>
      <c r="G94" s="11" t="str">
        <f t="array" ref="G94">_xlfn.XLOOKUP(A94,Tickets!A:A,Tickets!B:B)</f>
        <v>finalized</v>
      </c>
      <c r="H94" s="11" t="str">
        <f t="array" ref="H94">_xlfn.xlookup(A94,Tickets!A:A,Tickets!G:G)</f>
        <v>ເບີກເຄື່ອງໄຫ້ລູກຄ້າ ແລກ ອີຊີພ້ອຍ</v>
      </c>
    </row>
    <row r="95">
      <c r="A95" s="1" t="s">
        <v>571</v>
      </c>
      <c r="B95" s="1" t="s">
        <v>428</v>
      </c>
      <c r="C95" s="1" t="s">
        <v>429</v>
      </c>
      <c r="D95" s="4">
        <v>10.0</v>
      </c>
      <c r="E95" s="4">
        <v>10.0</v>
      </c>
      <c r="F95" s="1" t="s">
        <v>156</v>
      </c>
      <c r="G95" s="11" t="str">
        <f t="array" ref="G95">_xlfn.XLOOKUP(A95,Tickets!A:A,Tickets!B:B)</f>
        <v>finalized</v>
      </c>
      <c r="H95" s="11" t="str">
        <f t="array" ref="H95">_xlfn.xlookup(A95,Tickets!A:A,Tickets!G:G)</f>
        <v>Campaign Lao Viet Bank ແຈກກະເປົ໋າ 10 ຫນ່ວຍ</v>
      </c>
    </row>
    <row r="96">
      <c r="A96" s="1" t="s">
        <v>577</v>
      </c>
      <c r="B96" s="1" t="s">
        <v>398</v>
      </c>
      <c r="C96" s="1" t="s">
        <v>399</v>
      </c>
      <c r="D96" s="4">
        <v>1.0</v>
      </c>
      <c r="E96" s="4">
        <v>1.0</v>
      </c>
      <c r="F96" s="1" t="s">
        <v>156</v>
      </c>
      <c r="G96" s="11" t="str">
        <f t="array" ref="G96">_xlfn.XLOOKUP(A96,Tickets!A:A,Tickets!B:B)</f>
        <v>returned</v>
      </c>
      <c r="H96" s="11" t="str">
        <f t="array" ref="H96">_xlfn.xlookup(A96,Tickets!A:A,Tickets!G:G)</f>
        <v>CDD at Suan Pruek Sa for CSR</v>
      </c>
    </row>
    <row r="97">
      <c r="A97" s="1" t="s">
        <v>585</v>
      </c>
      <c r="B97" s="1" t="s">
        <v>331</v>
      </c>
      <c r="C97" s="1" t="s">
        <v>332</v>
      </c>
      <c r="D97" s="4">
        <v>5.0</v>
      </c>
      <c r="E97" s="4">
        <v>5.0</v>
      </c>
      <c r="F97" s="1" t="s">
        <v>323</v>
      </c>
      <c r="G97" s="11" t="str">
        <f t="array" ref="G97">_xlfn.XLOOKUP(A97,Tickets!A:A,Tickets!B:B)</f>
        <v>finalized</v>
      </c>
      <c r="H97" s="11" t="str">
        <f t="array" ref="H97">_xlfn.xlookup(A97,Tickets!A:A,Tickets!G:G)</f>
        <v>Support Children's day campaign</v>
      </c>
    </row>
    <row r="98">
      <c r="A98" s="1" t="s">
        <v>589</v>
      </c>
      <c r="B98" s="1" t="s">
        <v>291</v>
      </c>
      <c r="C98" s="1" t="s">
        <v>292</v>
      </c>
      <c r="D98" s="4">
        <v>19.0</v>
      </c>
      <c r="E98" s="4">
        <v>19.0</v>
      </c>
      <c r="F98" s="1" t="s">
        <v>39</v>
      </c>
      <c r="G98" s="11" t="str">
        <f t="array" ref="G98">_xlfn.XLOOKUP(A98,Tickets!A:A,Tickets!B:B)</f>
        <v>finalized</v>
      </c>
      <c r="H98" s="11" t="str">
        <f t="array" ref="H98">_xlfn.xlookup(A98,Tickets!A:A,Tickets!G:G)</f>
        <v>ລາຍການຊັບມິດອອກໃຫ້ອາເຈັນຊີ້ ແລະ ມອບໃຫ້ລູູກຄ້າຄະແນນລ້ານປ້າຍບາງສ່ວນ</v>
      </c>
    </row>
    <row r="99">
      <c r="A99" s="1" t="s">
        <v>589</v>
      </c>
      <c r="B99" s="1" t="s">
        <v>321</v>
      </c>
      <c r="C99" s="1" t="s">
        <v>322</v>
      </c>
      <c r="D99" s="1">
        <v>40.0</v>
      </c>
      <c r="E99" s="1">
        <v>40.0</v>
      </c>
      <c r="F99" s="1" t="s">
        <v>323</v>
      </c>
      <c r="G99" s="11" t="str">
        <f t="array" ref="G99">_xlfn.XLOOKUP(A99,Tickets!A:A,Tickets!B:B)</f>
        <v>finalized</v>
      </c>
      <c r="H99" s="11" t="str">
        <f t="array" ref="H99">_xlfn.xlookup(A99,Tickets!A:A,Tickets!G:G)</f>
        <v>ລາຍການຊັບມິດອອກໃຫ້ອາເຈັນຊີ້ ແລະ ມອບໃຫ້ລູູກຄ້າຄະແນນລ້ານປ້າຍບາງສ່ວນ</v>
      </c>
    </row>
    <row r="100">
      <c r="A100" s="1" t="s">
        <v>589</v>
      </c>
      <c r="B100" s="1" t="s">
        <v>441</v>
      </c>
      <c r="C100" s="1" t="s">
        <v>445</v>
      </c>
      <c r="D100" s="4">
        <v>70.0</v>
      </c>
      <c r="E100" s="4">
        <v>70.0</v>
      </c>
      <c r="F100" s="1" t="s">
        <v>201</v>
      </c>
      <c r="G100" s="11" t="str">
        <f t="array" ref="G100">_xlfn.XLOOKUP(A100,Tickets!A:A,Tickets!B:B)</f>
        <v>finalized</v>
      </c>
      <c r="H100" s="11" t="str">
        <f t="array" ref="H100">_xlfn.xlookup(A100,Tickets!A:A,Tickets!G:G)</f>
        <v>ລາຍການຊັບມິດອອກໃຫ້ອາເຈັນຊີ້ ແລະ ມອບໃຫ້ລູູກຄ້າຄະແນນລ້ານປ້າຍບາງສ່ວນ</v>
      </c>
    </row>
    <row r="101">
      <c r="A101" s="1" t="s">
        <v>589</v>
      </c>
      <c r="B101" s="1" t="s">
        <v>428</v>
      </c>
      <c r="C101" s="1" t="s">
        <v>429</v>
      </c>
      <c r="D101" s="4">
        <v>9.0</v>
      </c>
      <c r="E101" s="4">
        <v>9.0</v>
      </c>
      <c r="F101" s="1" t="s">
        <v>156</v>
      </c>
      <c r="G101" s="11" t="str">
        <f t="array" ref="G101">_xlfn.XLOOKUP(A101,Tickets!A:A,Tickets!B:B)</f>
        <v>finalized</v>
      </c>
      <c r="H101" s="11" t="str">
        <f t="array" ref="H101">_xlfn.xlookup(A101,Tickets!A:A,Tickets!G:G)</f>
        <v>ລາຍການຊັບມິດອອກໃຫ້ອາເຈັນຊີ້ ແລະ ມອບໃຫ້ລູູກຄ້າຄະແນນລ້ານປ້າຍບາງສ່ວນ</v>
      </c>
    </row>
    <row r="102">
      <c r="A102" s="1" t="s">
        <v>589</v>
      </c>
      <c r="B102" s="1" t="s">
        <v>266</v>
      </c>
      <c r="C102" s="1" t="s">
        <v>267</v>
      </c>
      <c r="D102" s="4">
        <v>104.0</v>
      </c>
      <c r="E102" s="4">
        <v>104.0</v>
      </c>
      <c r="F102" s="1" t="s">
        <v>39</v>
      </c>
      <c r="G102" s="11" t="str">
        <f t="array" ref="G102">_xlfn.XLOOKUP(A102,Tickets!A:A,Tickets!B:B)</f>
        <v>finalized</v>
      </c>
      <c r="H102" s="11" t="str">
        <f t="array" ref="H102">_xlfn.xlookup(A102,Tickets!A:A,Tickets!G:G)</f>
        <v>ລາຍການຊັບມິດອອກໃຫ້ອາເຈັນຊີ້ ແລະ ມອບໃຫ້ລູູກຄ້າຄະແນນລ້ານປ້າຍບາງສ່ວນ</v>
      </c>
    </row>
    <row r="103">
      <c r="A103" s="1" t="s">
        <v>589</v>
      </c>
      <c r="B103" s="1" t="s">
        <v>331</v>
      </c>
      <c r="C103" s="1" t="s">
        <v>332</v>
      </c>
      <c r="D103" s="1">
        <v>0.0</v>
      </c>
      <c r="E103" s="1">
        <v>40.0</v>
      </c>
      <c r="F103" s="1" t="s">
        <v>323</v>
      </c>
      <c r="G103" s="11" t="str">
        <f t="array" ref="G103">_xlfn.XLOOKUP(A103,Tickets!A:A,Tickets!B:B)</f>
        <v>finalized</v>
      </c>
      <c r="H103" s="11" t="str">
        <f t="array" ref="H103">_xlfn.xlookup(A103,Tickets!A:A,Tickets!G:G)</f>
        <v>ລາຍການຊັບມິດອອກໃຫ້ອາເຈັນຊີ້ ແລະ ມອບໃຫ້ລູູກຄ້າຄະແນນລ້ານປ້າຍບາງສ່ວນ</v>
      </c>
    </row>
    <row r="104">
      <c r="A104" s="1" t="s">
        <v>594</v>
      </c>
      <c r="B104" s="1" t="s">
        <v>262</v>
      </c>
      <c r="C104" s="1" t="s">
        <v>263</v>
      </c>
      <c r="D104" s="4">
        <v>20.0</v>
      </c>
      <c r="E104" s="4">
        <v>20.0</v>
      </c>
      <c r="F104" s="1" t="s">
        <v>39</v>
      </c>
      <c r="G104" s="11" t="str">
        <f t="array" ref="G104">_xlfn.XLOOKUP(A104,Tickets!A:A,Tickets!B:B)</f>
        <v>finalized</v>
      </c>
      <c r="H104" s="11" t="str">
        <f t="array" ref="H104">_xlfn.xlookup(A104,Tickets!A:A,Tickets!G:G)</f>
        <v>ເບີກອອກງານສຳມະນາ, ເອຊີລີດາ 5/6/2026</v>
      </c>
    </row>
    <row r="105">
      <c r="A105" s="1" t="s">
        <v>594</v>
      </c>
      <c r="B105" s="1" t="s">
        <v>412</v>
      </c>
      <c r="C105" s="1" t="s">
        <v>413</v>
      </c>
      <c r="D105" s="4">
        <v>5.0</v>
      </c>
      <c r="E105" s="4">
        <v>15.0</v>
      </c>
      <c r="F105" s="1" t="s">
        <v>201</v>
      </c>
      <c r="G105" s="11" t="str">
        <f t="array" ref="G105">_xlfn.XLOOKUP(A105,Tickets!A:A,Tickets!B:B)</f>
        <v>finalized</v>
      </c>
      <c r="H105" s="11" t="str">
        <f t="array" ref="H105">_xlfn.xlookup(A105,Tickets!A:A,Tickets!G:G)</f>
        <v>ເບີກອອກງານສຳມະນາ, ເອຊີລີດາ 5/6/2026</v>
      </c>
    </row>
    <row r="106">
      <c r="A106" s="1" t="s">
        <v>594</v>
      </c>
      <c r="B106" s="1" t="s">
        <v>395</v>
      </c>
      <c r="C106" s="1" t="s">
        <v>396</v>
      </c>
      <c r="D106" s="4">
        <v>30.0</v>
      </c>
      <c r="E106" s="4">
        <v>50.0</v>
      </c>
      <c r="F106" s="1" t="s">
        <v>201</v>
      </c>
      <c r="G106" s="11" t="str">
        <f t="array" ref="G106">_xlfn.XLOOKUP(A106,Tickets!A:A,Tickets!B:B)</f>
        <v>finalized</v>
      </c>
      <c r="H106" s="11" t="str">
        <f t="array" ref="H106">_xlfn.xlookup(A106,Tickets!A:A,Tickets!G:G)</f>
        <v>ເບີກອອກງານສຳມະນາ, ເອຊີລີດາ 5/6/2026</v>
      </c>
    </row>
    <row r="107">
      <c r="A107" s="1" t="s">
        <v>594</v>
      </c>
      <c r="B107" s="1" t="s">
        <v>405</v>
      </c>
      <c r="C107" s="1" t="s">
        <v>455</v>
      </c>
      <c r="D107" s="4">
        <v>5.0</v>
      </c>
      <c r="E107" s="4">
        <v>15.0</v>
      </c>
      <c r="F107" s="1" t="s">
        <v>201</v>
      </c>
      <c r="G107" s="11" t="str">
        <f t="array" ref="G107">_xlfn.XLOOKUP(A107,Tickets!A:A,Tickets!B:B)</f>
        <v>finalized</v>
      </c>
      <c r="H107" s="11" t="str">
        <f t="array" ref="H107">_xlfn.xlookup(A107,Tickets!A:A,Tickets!G:G)</f>
        <v>ເບີກອອກງານສຳມະນາ, ເອຊີລີດາ 5/6/2026</v>
      </c>
    </row>
    <row r="108">
      <c r="A108" s="1" t="s">
        <v>594</v>
      </c>
      <c r="B108" s="1" t="s">
        <v>441</v>
      </c>
      <c r="C108" s="1" t="s">
        <v>445</v>
      </c>
      <c r="D108" s="4">
        <v>10.0</v>
      </c>
      <c r="E108" s="4">
        <v>25.0</v>
      </c>
      <c r="F108" s="1" t="s">
        <v>201</v>
      </c>
      <c r="G108" s="11" t="str">
        <f t="array" ref="G108">_xlfn.XLOOKUP(A108,Tickets!A:A,Tickets!B:B)</f>
        <v>finalized</v>
      </c>
      <c r="H108" s="11" t="str">
        <f t="array" ref="H108">_xlfn.xlookup(A108,Tickets!A:A,Tickets!G:G)</f>
        <v>ເບີກອອກງານສຳມະນາ, ເອຊີລີດາ 5/6/2026</v>
      </c>
    </row>
    <row r="109">
      <c r="A109" s="1" t="s">
        <v>599</v>
      </c>
      <c r="B109" s="1" t="s">
        <v>321</v>
      </c>
      <c r="C109" s="1" t="s">
        <v>322</v>
      </c>
      <c r="D109" s="4">
        <v>20.0</v>
      </c>
      <c r="E109" s="4">
        <v>20.0</v>
      </c>
      <c r="F109" s="1" t="s">
        <v>323</v>
      </c>
      <c r="G109" s="11" t="str">
        <f t="array" ref="G109">_xlfn.XLOOKUP(A109,Tickets!A:A,Tickets!B:B)</f>
        <v>finalized</v>
      </c>
      <c r="H109" s="11" t="str">
        <f t="array" ref="H109">_xlfn.xlookup(A109,Tickets!A:A,Tickets!G:G)</f>
        <v>ເບີກໃຫ້ອາເຈນຊີ່</v>
      </c>
    </row>
    <row r="110">
      <c r="A110" s="1" t="s">
        <v>599</v>
      </c>
      <c r="B110" s="1" t="s">
        <v>163</v>
      </c>
      <c r="C110" s="1" t="s">
        <v>164</v>
      </c>
      <c r="D110" s="1">
        <v>144.0</v>
      </c>
      <c r="E110" s="1">
        <v>144.0</v>
      </c>
      <c r="F110" s="1" t="s">
        <v>201</v>
      </c>
      <c r="G110" s="11" t="str">
        <f t="array" ref="G110">_xlfn.XLOOKUP(A110,Tickets!A:A,Tickets!B:B)</f>
        <v>finalized</v>
      </c>
      <c r="H110" s="11" t="str">
        <f t="array" ref="H110">_xlfn.xlookup(A110,Tickets!A:A,Tickets!G:G)</f>
        <v>ເບີກໃຫ້ອາເຈນຊີ່</v>
      </c>
    </row>
    <row r="111">
      <c r="A111" s="1" t="s">
        <v>605</v>
      </c>
      <c r="B111" s="1" t="s">
        <v>163</v>
      </c>
      <c r="C111" s="1" t="s">
        <v>164</v>
      </c>
      <c r="D111" s="4">
        <v>11.0</v>
      </c>
      <c r="E111" s="4">
        <v>11.0</v>
      </c>
      <c r="F111" s="1" t="s">
        <v>201</v>
      </c>
      <c r="G111" s="11" t="str">
        <f t="array" ref="G111">_xlfn.XLOOKUP(A111,Tickets!A:A,Tickets!B:B)</f>
        <v>finalized</v>
      </c>
      <c r="H111" s="11" t="str">
        <f t="array" ref="H111">_xlfn.xlookup(A111,Tickets!A:A,Tickets!G:G)</f>
        <v>Giveaway for testimonial video shooting</v>
      </c>
    </row>
    <row r="112">
      <c r="A112" s="1" t="s">
        <v>605</v>
      </c>
      <c r="B112" s="1" t="s">
        <v>331</v>
      </c>
      <c r="C112" s="1" t="s">
        <v>332</v>
      </c>
      <c r="D112" s="4">
        <v>10.0</v>
      </c>
      <c r="E112" s="4">
        <v>10.0</v>
      </c>
      <c r="F112" s="1" t="s">
        <v>323</v>
      </c>
      <c r="G112" s="11" t="str">
        <f t="array" ref="G112">_xlfn.XLOOKUP(A112,Tickets!A:A,Tickets!B:B)</f>
        <v>finalized</v>
      </c>
      <c r="H112" s="11" t="str">
        <f t="array" ref="H112">_xlfn.xlookup(A112,Tickets!A:A,Tickets!G:G)</f>
        <v>Giveaway for testimonial video shooting</v>
      </c>
    </row>
    <row r="113">
      <c r="A113" s="1" t="s">
        <v>612</v>
      </c>
      <c r="B113" s="1" t="s">
        <v>494</v>
      </c>
      <c r="C113" s="1" t="s">
        <v>495</v>
      </c>
      <c r="D113" s="4">
        <v>2.0</v>
      </c>
      <c r="E113" s="4">
        <v>2.0</v>
      </c>
      <c r="F113" s="1" t="s">
        <v>156</v>
      </c>
    </row>
    <row r="114">
      <c r="A114" s="1" t="s">
        <v>617</v>
      </c>
      <c r="B114" s="1" t="s">
        <v>331</v>
      </c>
      <c r="C114" s="1" t="s">
        <v>332</v>
      </c>
      <c r="D114" s="4">
        <v>5.0</v>
      </c>
      <c r="E114" s="4">
        <v>5.0</v>
      </c>
      <c r="F114" s="1" t="s">
        <v>323</v>
      </c>
    </row>
    <row r="115">
      <c r="A115" s="1" t="s">
        <v>617</v>
      </c>
      <c r="B115" s="1" t="s">
        <v>395</v>
      </c>
      <c r="C115" s="1" t="s">
        <v>396</v>
      </c>
      <c r="D115" s="4">
        <v>100.0</v>
      </c>
      <c r="E115" s="4">
        <v>100.0</v>
      </c>
      <c r="F115" s="1" t="s">
        <v>201</v>
      </c>
    </row>
    <row r="116">
      <c r="A116" s="1" t="s">
        <v>624</v>
      </c>
      <c r="B116" s="1" t="s">
        <v>494</v>
      </c>
      <c r="C116" s="1" t="s">
        <v>495</v>
      </c>
      <c r="D116" s="4">
        <v>70.0</v>
      </c>
      <c r="E116" s="4">
        <v>70.0</v>
      </c>
      <c r="F116" s="1" t="s">
        <v>156</v>
      </c>
    </row>
    <row r="117">
      <c r="A117" s="1" t="s">
        <v>629</v>
      </c>
      <c r="B117" s="1" t="s">
        <v>494</v>
      </c>
      <c r="C117" s="1" t="s">
        <v>495</v>
      </c>
      <c r="D117" s="4">
        <v>30.0</v>
      </c>
      <c r="E117" s="4">
        <v>28.0</v>
      </c>
      <c r="F117" s="1" t="s">
        <v>156</v>
      </c>
    </row>
    <row r="118">
      <c r="A118" s="1" t="s">
        <v>636</v>
      </c>
      <c r="B118" s="1" t="s">
        <v>56</v>
      </c>
      <c r="C118" s="1" t="s">
        <v>58</v>
      </c>
      <c r="D118" s="4">
        <v>1500.0</v>
      </c>
      <c r="E118" s="4">
        <v>1500.0</v>
      </c>
      <c r="F118" s="1" t="s">
        <v>39</v>
      </c>
    </row>
    <row r="119">
      <c r="A119" s="1" t="s">
        <v>636</v>
      </c>
      <c r="B119" s="1" t="s">
        <v>81</v>
      </c>
      <c r="C119" s="1" t="s">
        <v>83</v>
      </c>
      <c r="D119" s="4">
        <v>200.0</v>
      </c>
      <c r="E119" s="4">
        <v>200.0</v>
      </c>
      <c r="F119" s="1" t="s">
        <v>39</v>
      </c>
    </row>
    <row r="120">
      <c r="A120" s="1" t="s">
        <v>636</v>
      </c>
      <c r="B120" s="1" t="s">
        <v>92</v>
      </c>
      <c r="C120" s="1" t="s">
        <v>94</v>
      </c>
      <c r="D120" s="4">
        <v>300.0</v>
      </c>
      <c r="E120" s="4">
        <v>300.0</v>
      </c>
      <c r="F120" s="1" t="s">
        <v>190</v>
      </c>
    </row>
    <row r="121">
      <c r="A121" s="1" t="s">
        <v>636</v>
      </c>
      <c r="B121" s="1" t="s">
        <v>70</v>
      </c>
      <c r="C121" s="1" t="s">
        <v>72</v>
      </c>
      <c r="D121" s="4">
        <v>500.0</v>
      </c>
      <c r="E121" s="4">
        <v>500.0</v>
      </c>
      <c r="F121" s="1" t="s">
        <v>156</v>
      </c>
    </row>
    <row r="122">
      <c r="A122" s="1" t="s">
        <v>641</v>
      </c>
      <c r="B122" s="1" t="s">
        <v>331</v>
      </c>
      <c r="C122" s="1" t="s">
        <v>332</v>
      </c>
      <c r="D122" s="4">
        <v>3.0</v>
      </c>
      <c r="E122" s="4">
        <v>3.0</v>
      </c>
      <c r="F122" s="1" t="s">
        <v>323</v>
      </c>
    </row>
    <row r="123">
      <c r="A123" s="1" t="s">
        <v>645</v>
      </c>
      <c r="B123" s="1" t="s">
        <v>321</v>
      </c>
      <c r="C123" s="1" t="s">
        <v>322</v>
      </c>
      <c r="D123" s="4">
        <v>50.0</v>
      </c>
      <c r="E123" s="4">
        <v>50.0</v>
      </c>
      <c r="F123" s="1" t="s">
        <v>323</v>
      </c>
    </row>
    <row r="124">
      <c r="A124" s="1" t="s">
        <v>649</v>
      </c>
      <c r="B124" s="1" t="s">
        <v>428</v>
      </c>
      <c r="C124" s="1" t="s">
        <v>429</v>
      </c>
      <c r="D124" s="4">
        <v>10.0</v>
      </c>
      <c r="E124" s="4">
        <v>10.0</v>
      </c>
      <c r="F124" s="1" t="s">
        <v>156</v>
      </c>
    </row>
    <row r="125">
      <c r="A125" s="1" t="s">
        <v>649</v>
      </c>
      <c r="B125" s="1" t="s">
        <v>441</v>
      </c>
      <c r="C125" s="1" t="s">
        <v>445</v>
      </c>
      <c r="D125" s="4">
        <v>20.0</v>
      </c>
      <c r="E125" s="4">
        <v>20.0</v>
      </c>
      <c r="F125" s="1" t="s">
        <v>201</v>
      </c>
    </row>
    <row r="126">
      <c r="A126" s="1" t="s">
        <v>649</v>
      </c>
      <c r="B126" s="1" t="s">
        <v>321</v>
      </c>
      <c r="C126" s="1" t="s">
        <v>322</v>
      </c>
      <c r="D126" s="4">
        <v>10.0</v>
      </c>
      <c r="E126" s="4">
        <v>10.0</v>
      </c>
      <c r="F126" s="1" t="s">
        <v>323</v>
      </c>
    </row>
    <row r="127">
      <c r="A127" s="1" t="s">
        <v>654</v>
      </c>
      <c r="B127" s="1" t="s">
        <v>266</v>
      </c>
      <c r="C127" s="1" t="s">
        <v>267</v>
      </c>
      <c r="D127" s="4">
        <v>15.0</v>
      </c>
      <c r="E127" s="4">
        <v>15.0</v>
      </c>
      <c r="F127" s="1" t="s">
        <v>39</v>
      </c>
    </row>
    <row r="128">
      <c r="A128" s="1" t="s">
        <v>654</v>
      </c>
      <c r="B128" s="1" t="s">
        <v>441</v>
      </c>
      <c r="C128" s="1" t="s">
        <v>445</v>
      </c>
      <c r="D128" s="4">
        <v>40.0</v>
      </c>
      <c r="E128" s="4">
        <v>40.0</v>
      </c>
      <c r="F128" s="1" t="s">
        <v>201</v>
      </c>
    </row>
    <row r="129">
      <c r="A129" s="1" t="s">
        <v>654</v>
      </c>
      <c r="B129" s="1" t="s">
        <v>395</v>
      </c>
      <c r="C129" s="1" t="s">
        <v>396</v>
      </c>
      <c r="D129" s="4">
        <v>200.0</v>
      </c>
      <c r="E129" s="4">
        <v>200.0</v>
      </c>
      <c r="F129" s="1" t="s">
        <v>201</v>
      </c>
    </row>
    <row r="130">
      <c r="A130" s="1" t="s">
        <v>654</v>
      </c>
      <c r="B130" s="1" t="s">
        <v>405</v>
      </c>
      <c r="C130" s="1" t="s">
        <v>455</v>
      </c>
      <c r="D130" s="4">
        <v>25.0</v>
      </c>
      <c r="E130" s="4">
        <v>25.0</v>
      </c>
      <c r="F130" s="1" t="s">
        <v>201</v>
      </c>
    </row>
    <row r="131">
      <c r="A131" s="1" t="s">
        <v>654</v>
      </c>
      <c r="B131" s="1" t="s">
        <v>428</v>
      </c>
      <c r="C131" s="1" t="s">
        <v>429</v>
      </c>
      <c r="D131" s="4">
        <v>20.0</v>
      </c>
      <c r="E131" s="4">
        <v>20.0</v>
      </c>
      <c r="F131" s="1" t="s">
        <v>156</v>
      </c>
    </row>
    <row r="132">
      <c r="A132" s="1" t="s">
        <v>654</v>
      </c>
      <c r="B132" s="1" t="s">
        <v>412</v>
      </c>
      <c r="C132" s="1" t="s">
        <v>413</v>
      </c>
      <c r="D132" s="4">
        <v>20.0</v>
      </c>
      <c r="E132" s="4">
        <v>20.0</v>
      </c>
      <c r="F132" s="1" t="s">
        <v>201</v>
      </c>
    </row>
    <row r="133">
      <c r="A133" s="1" t="s">
        <v>654</v>
      </c>
      <c r="B133" s="1" t="s">
        <v>163</v>
      </c>
      <c r="C133" s="1" t="s">
        <v>164</v>
      </c>
      <c r="D133" s="4">
        <v>50.0</v>
      </c>
      <c r="E133" s="4">
        <v>50.0</v>
      </c>
      <c r="F133" s="1" t="s">
        <v>201</v>
      </c>
    </row>
    <row r="134">
      <c r="A134" s="1" t="s">
        <v>658</v>
      </c>
      <c r="B134" s="1" t="s">
        <v>331</v>
      </c>
      <c r="C134" s="1" t="s">
        <v>332</v>
      </c>
      <c r="D134" s="4">
        <v>2.0</v>
      </c>
      <c r="E134" s="4">
        <v>2.0</v>
      </c>
      <c r="F134" s="1" t="s">
        <v>323</v>
      </c>
    </row>
    <row r="135">
      <c r="A135" s="1" t="s">
        <v>662</v>
      </c>
      <c r="B135" s="1" t="s">
        <v>266</v>
      </c>
      <c r="C135" s="1" t="s">
        <v>267</v>
      </c>
      <c r="D135" s="4">
        <v>50.0</v>
      </c>
      <c r="E135" s="4">
        <v>50.0</v>
      </c>
      <c r="F135" s="1" t="s">
        <v>39</v>
      </c>
    </row>
    <row r="136">
      <c r="A136" s="1" t="s">
        <v>666</v>
      </c>
      <c r="B136" s="1" t="s">
        <v>163</v>
      </c>
      <c r="C136" s="1" t="s">
        <v>164</v>
      </c>
      <c r="D136" s="4">
        <v>50.0</v>
      </c>
      <c r="E136" s="4">
        <v>50.0</v>
      </c>
      <c r="F136" s="1" t="s">
        <v>201</v>
      </c>
    </row>
    <row r="137">
      <c r="A137" s="1" t="s">
        <v>672</v>
      </c>
      <c r="B137" s="1" t="s">
        <v>163</v>
      </c>
      <c r="C137" s="1" t="s">
        <v>164</v>
      </c>
      <c r="D137" s="4">
        <v>50.0</v>
      </c>
      <c r="E137" s="4">
        <v>50.0</v>
      </c>
      <c r="F137" s="1" t="s">
        <v>201</v>
      </c>
    </row>
    <row r="138">
      <c r="A138" s="1" t="s">
        <v>676</v>
      </c>
      <c r="B138" s="1" t="s">
        <v>412</v>
      </c>
      <c r="C138" s="1" t="s">
        <v>413</v>
      </c>
      <c r="D138" s="4">
        <v>30.0</v>
      </c>
      <c r="E138" s="4">
        <v>30.0</v>
      </c>
      <c r="F138" s="1" t="s">
        <v>201</v>
      </c>
    </row>
    <row r="139">
      <c r="A139" s="1" t="s">
        <v>676</v>
      </c>
      <c r="B139" s="1" t="s">
        <v>405</v>
      </c>
      <c r="C139" s="1" t="s">
        <v>455</v>
      </c>
      <c r="D139" s="4">
        <v>50.0</v>
      </c>
      <c r="E139" s="4">
        <v>50.0</v>
      </c>
      <c r="F139" s="1" t="s">
        <v>201</v>
      </c>
    </row>
    <row r="140">
      <c r="A140" s="1" t="s">
        <v>676</v>
      </c>
      <c r="B140" s="1" t="s">
        <v>441</v>
      </c>
      <c r="C140" s="1" t="s">
        <v>445</v>
      </c>
      <c r="D140" s="4">
        <v>50.0</v>
      </c>
      <c r="E140" s="4">
        <v>50.0</v>
      </c>
      <c r="F140" s="1" t="s">
        <v>201</v>
      </c>
    </row>
    <row r="141">
      <c r="A141" s="1" t="s">
        <v>676</v>
      </c>
      <c r="B141" s="1" t="s">
        <v>428</v>
      </c>
      <c r="C141" s="1" t="s">
        <v>429</v>
      </c>
      <c r="D141" s="4">
        <v>50.0</v>
      </c>
      <c r="E141" s="4">
        <v>40.0</v>
      </c>
      <c r="F141" s="1" t="s">
        <v>156</v>
      </c>
    </row>
    <row r="142">
      <c r="A142" s="1" t="s">
        <v>682</v>
      </c>
      <c r="B142" s="1" t="s">
        <v>405</v>
      </c>
      <c r="C142" s="1" t="s">
        <v>455</v>
      </c>
      <c r="D142" s="4">
        <v>10.0</v>
      </c>
      <c r="E142" s="4">
        <v>10.0</v>
      </c>
      <c r="F142" s="1" t="s">
        <v>201</v>
      </c>
    </row>
    <row r="143">
      <c r="A143" s="1" t="s">
        <v>682</v>
      </c>
      <c r="B143" s="1" t="s">
        <v>428</v>
      </c>
      <c r="C143" s="1" t="s">
        <v>429</v>
      </c>
      <c r="D143" s="4">
        <v>3.0</v>
      </c>
      <c r="E143" s="4">
        <v>3.0</v>
      </c>
      <c r="F143" s="1" t="s">
        <v>156</v>
      </c>
    </row>
    <row r="144">
      <c r="A144" s="1" t="s">
        <v>682</v>
      </c>
      <c r="B144" s="1" t="s">
        <v>262</v>
      </c>
      <c r="C144" s="1" t="s">
        <v>263</v>
      </c>
      <c r="D144" s="4">
        <v>50.0</v>
      </c>
      <c r="E144" s="4">
        <v>50.0</v>
      </c>
      <c r="F144" s="1" t="s">
        <v>39</v>
      </c>
    </row>
    <row r="145">
      <c r="A145" s="1" t="s">
        <v>686</v>
      </c>
      <c r="B145" s="1" t="s">
        <v>331</v>
      </c>
      <c r="C145" s="1" t="s">
        <v>332</v>
      </c>
      <c r="D145" s="4">
        <v>20.0</v>
      </c>
      <c r="F145" s="1" t="s">
        <v>323</v>
      </c>
    </row>
    <row r="146">
      <c r="A146" s="1" t="s">
        <v>693</v>
      </c>
      <c r="B146" s="1" t="s">
        <v>266</v>
      </c>
      <c r="C146" s="1" t="s">
        <v>267</v>
      </c>
      <c r="D146" s="4">
        <v>40.0</v>
      </c>
      <c r="E146" s="4">
        <v>40.0</v>
      </c>
      <c r="F146" s="1" t="s">
        <v>39</v>
      </c>
    </row>
    <row r="147">
      <c r="A147" s="1" t="s">
        <v>697</v>
      </c>
      <c r="B147" s="1" t="s">
        <v>325</v>
      </c>
      <c r="C147" s="1" t="s">
        <v>326</v>
      </c>
      <c r="D147" s="4">
        <v>1000.0</v>
      </c>
      <c r="E147" s="4">
        <v>1000.0</v>
      </c>
      <c r="F147" s="1" t="s">
        <v>201</v>
      </c>
    </row>
    <row r="148">
      <c r="A148" s="1" t="s">
        <v>697</v>
      </c>
      <c r="B148" s="1" t="s">
        <v>395</v>
      </c>
      <c r="C148" s="1" t="s">
        <v>396</v>
      </c>
      <c r="D148" s="4">
        <v>200.0</v>
      </c>
      <c r="E148" s="4">
        <v>200.0</v>
      </c>
      <c r="F148" s="1" t="s">
        <v>201</v>
      </c>
    </row>
    <row r="149">
      <c r="A149" s="1" t="s">
        <v>701</v>
      </c>
      <c r="B149" s="1" t="s">
        <v>325</v>
      </c>
      <c r="C149" s="1" t="s">
        <v>326</v>
      </c>
      <c r="D149" s="4">
        <v>1000.0</v>
      </c>
      <c r="E149" s="4">
        <v>1000.0</v>
      </c>
      <c r="F149" s="1" t="s">
        <v>201</v>
      </c>
    </row>
    <row r="150">
      <c r="A150" s="1" t="s">
        <v>701</v>
      </c>
      <c r="B150" s="1" t="s">
        <v>395</v>
      </c>
      <c r="C150" s="1" t="s">
        <v>396</v>
      </c>
      <c r="D150" s="4">
        <v>200.0</v>
      </c>
      <c r="E150" s="4">
        <v>200.0</v>
      </c>
      <c r="F150" s="1" t="s">
        <v>201</v>
      </c>
    </row>
    <row r="151">
      <c r="A151" s="1" t="s">
        <v>704</v>
      </c>
      <c r="B151" s="1" t="s">
        <v>186</v>
      </c>
      <c r="C151" s="1" t="s">
        <v>187</v>
      </c>
      <c r="D151" s="4">
        <v>1.0</v>
      </c>
      <c r="E151" s="4">
        <v>1.0</v>
      </c>
      <c r="F151" s="1" t="s">
        <v>201</v>
      </c>
    </row>
    <row r="152">
      <c r="A152" s="1" t="s">
        <v>704</v>
      </c>
      <c r="B152" s="1" t="s">
        <v>163</v>
      </c>
      <c r="C152" s="1" t="s">
        <v>164</v>
      </c>
      <c r="D152" s="4">
        <v>100.0</v>
      </c>
      <c r="E152" s="4">
        <v>150.0</v>
      </c>
      <c r="F152" s="1" t="s">
        <v>201</v>
      </c>
    </row>
    <row r="153">
      <c r="A153" s="1" t="s">
        <v>711</v>
      </c>
      <c r="B153" s="1" t="s">
        <v>186</v>
      </c>
      <c r="C153" s="1" t="s">
        <v>187</v>
      </c>
      <c r="D153" s="4">
        <v>50.0</v>
      </c>
      <c r="E153" s="4">
        <v>50.0</v>
      </c>
      <c r="F153" s="1" t="s">
        <v>201</v>
      </c>
    </row>
    <row r="154">
      <c r="A154" s="1" t="s">
        <v>716</v>
      </c>
      <c r="B154" s="1" t="s">
        <v>428</v>
      </c>
      <c r="C154" s="1" t="s">
        <v>429</v>
      </c>
      <c r="D154" s="4">
        <v>5.0</v>
      </c>
      <c r="E154" s="4">
        <v>5.0</v>
      </c>
      <c r="F154" s="1" t="s">
        <v>156</v>
      </c>
    </row>
    <row r="155">
      <c r="A155" s="1" t="s">
        <v>716</v>
      </c>
      <c r="B155" s="1" t="s">
        <v>441</v>
      </c>
      <c r="C155" s="1" t="s">
        <v>445</v>
      </c>
      <c r="D155" s="4">
        <v>10.0</v>
      </c>
      <c r="E155" s="4">
        <v>10.0</v>
      </c>
      <c r="F155" s="1" t="s">
        <v>201</v>
      </c>
    </row>
    <row r="156">
      <c r="A156" s="1" t="s">
        <v>716</v>
      </c>
      <c r="B156" s="1" t="s">
        <v>405</v>
      </c>
      <c r="C156" s="1" t="s">
        <v>455</v>
      </c>
      <c r="D156" s="4">
        <v>5.0</v>
      </c>
      <c r="E156" s="4">
        <v>5.0</v>
      </c>
      <c r="F156" s="1" t="s">
        <v>201</v>
      </c>
    </row>
    <row r="157">
      <c r="A157" s="1" t="s">
        <v>716</v>
      </c>
      <c r="B157" s="1" t="s">
        <v>291</v>
      </c>
      <c r="C157" s="1" t="s">
        <v>292</v>
      </c>
      <c r="D157" s="4">
        <v>5.0</v>
      </c>
      <c r="E157" s="4">
        <v>5.0</v>
      </c>
      <c r="F157" s="1" t="s">
        <v>39</v>
      </c>
    </row>
    <row r="158">
      <c r="A158" s="1" t="s">
        <v>721</v>
      </c>
      <c r="B158" s="1" t="s">
        <v>428</v>
      </c>
      <c r="C158" s="1" t="s">
        <v>429</v>
      </c>
      <c r="D158" s="4">
        <v>20.0</v>
      </c>
      <c r="E158" s="4">
        <v>20.0</v>
      </c>
      <c r="F158" s="1" t="s">
        <v>156</v>
      </c>
    </row>
    <row r="159">
      <c r="A159" s="1" t="s">
        <v>721</v>
      </c>
      <c r="B159" s="1" t="s">
        <v>405</v>
      </c>
      <c r="C159" s="1" t="s">
        <v>455</v>
      </c>
      <c r="D159" s="4">
        <v>20.0</v>
      </c>
      <c r="E159" s="4">
        <v>20.0</v>
      </c>
      <c r="F159" s="1" t="s">
        <v>201</v>
      </c>
    </row>
    <row r="160">
      <c r="A160" s="1" t="s">
        <v>721</v>
      </c>
      <c r="B160" s="1" t="s">
        <v>291</v>
      </c>
      <c r="C160" s="1" t="s">
        <v>292</v>
      </c>
      <c r="D160" s="4">
        <v>20.0</v>
      </c>
      <c r="E160" s="4">
        <v>20.0</v>
      </c>
      <c r="F160" s="1" t="s">
        <v>39</v>
      </c>
    </row>
    <row r="161">
      <c r="A161" s="1" t="s">
        <v>721</v>
      </c>
      <c r="B161" s="1" t="s">
        <v>441</v>
      </c>
      <c r="C161" s="1" t="s">
        <v>445</v>
      </c>
      <c r="D161" s="4">
        <v>20.0</v>
      </c>
      <c r="E161" s="4">
        <v>20.0</v>
      </c>
      <c r="F161" s="1" t="s">
        <v>201</v>
      </c>
    </row>
    <row r="162">
      <c r="A162" s="1" t="s">
        <v>725</v>
      </c>
      <c r="B162" s="1" t="s">
        <v>428</v>
      </c>
      <c r="C162" s="1" t="s">
        <v>429</v>
      </c>
      <c r="D162" s="4">
        <v>20.0</v>
      </c>
      <c r="E162" s="4">
        <v>20.0</v>
      </c>
      <c r="F162" s="1" t="s">
        <v>156</v>
      </c>
    </row>
    <row r="163">
      <c r="A163" s="1" t="s">
        <v>725</v>
      </c>
      <c r="B163" s="1" t="s">
        <v>405</v>
      </c>
      <c r="C163" s="1" t="s">
        <v>455</v>
      </c>
      <c r="D163" s="4">
        <v>50.0</v>
      </c>
      <c r="E163" s="4">
        <v>50.0</v>
      </c>
      <c r="F163" s="1" t="s">
        <v>201</v>
      </c>
    </row>
    <row r="164">
      <c r="A164" s="1" t="s">
        <v>725</v>
      </c>
      <c r="B164" s="1" t="s">
        <v>331</v>
      </c>
      <c r="C164" s="1" t="s">
        <v>332</v>
      </c>
      <c r="D164" s="4">
        <v>10.0</v>
      </c>
      <c r="E164" s="4">
        <v>10.0</v>
      </c>
      <c r="F164" s="1" t="s">
        <v>323</v>
      </c>
    </row>
    <row r="165">
      <c r="A165" s="1" t="s">
        <v>725</v>
      </c>
      <c r="B165" s="1" t="s">
        <v>441</v>
      </c>
      <c r="C165" s="1" t="s">
        <v>445</v>
      </c>
      <c r="D165" s="4">
        <v>50.0</v>
      </c>
      <c r="E165" s="4">
        <v>50.0</v>
      </c>
      <c r="F165" s="1" t="s">
        <v>201</v>
      </c>
    </row>
    <row r="166">
      <c r="A166" s="1" t="s">
        <v>730</v>
      </c>
      <c r="B166" s="1" t="s">
        <v>163</v>
      </c>
      <c r="C166" s="1" t="s">
        <v>164</v>
      </c>
      <c r="D166" s="4">
        <v>30.0</v>
      </c>
      <c r="E166" s="4">
        <v>30.0</v>
      </c>
      <c r="F166" s="1" t="s">
        <v>201</v>
      </c>
    </row>
    <row r="167">
      <c r="A167" s="1" t="s">
        <v>735</v>
      </c>
      <c r="B167" s="1" t="s">
        <v>405</v>
      </c>
      <c r="C167" s="1" t="s">
        <v>455</v>
      </c>
      <c r="D167" s="4">
        <v>5.0</v>
      </c>
      <c r="E167" s="4">
        <v>5.0</v>
      </c>
      <c r="F167" s="1" t="s">
        <v>201</v>
      </c>
    </row>
    <row r="168">
      <c r="A168" s="1" t="s">
        <v>735</v>
      </c>
      <c r="B168" s="1" t="s">
        <v>428</v>
      </c>
      <c r="C168" s="1" t="s">
        <v>429</v>
      </c>
      <c r="D168" s="4">
        <v>12.0</v>
      </c>
      <c r="E168" s="4">
        <v>12.0</v>
      </c>
      <c r="F168" s="1" t="s">
        <v>156</v>
      </c>
    </row>
    <row r="169">
      <c r="A169" s="1" t="s">
        <v>735</v>
      </c>
      <c r="B169" s="1" t="s">
        <v>262</v>
      </c>
      <c r="C169" s="1" t="s">
        <v>263</v>
      </c>
      <c r="D169" s="4">
        <v>50.0</v>
      </c>
      <c r="E169" s="4">
        <v>50.0</v>
      </c>
      <c r="F169" s="1" t="s">
        <v>39</v>
      </c>
    </row>
    <row r="170">
      <c r="A170" s="1" t="s">
        <v>739</v>
      </c>
      <c r="B170" s="1" t="s">
        <v>262</v>
      </c>
      <c r="C170" s="1" t="s">
        <v>263</v>
      </c>
      <c r="D170" s="4">
        <v>100.0</v>
      </c>
      <c r="E170" s="4">
        <v>100.0</v>
      </c>
      <c r="F170" s="1" t="s">
        <v>39</v>
      </c>
    </row>
    <row r="171">
      <c r="A171" s="1" t="s">
        <v>739</v>
      </c>
      <c r="B171" s="1" t="s">
        <v>266</v>
      </c>
      <c r="C171" s="1" t="s">
        <v>267</v>
      </c>
      <c r="D171" s="4">
        <v>5.0</v>
      </c>
      <c r="E171" s="4"/>
      <c r="F171" s="1" t="s">
        <v>39</v>
      </c>
    </row>
    <row r="172">
      <c r="A172" s="1" t="s">
        <v>739</v>
      </c>
      <c r="B172" s="1" t="s">
        <v>484</v>
      </c>
      <c r="C172" s="1" t="s">
        <v>932</v>
      </c>
      <c r="D172" s="4">
        <v>1.0</v>
      </c>
      <c r="E172" s="4">
        <v>1.0</v>
      </c>
      <c r="F172" s="1" t="s">
        <v>156</v>
      </c>
    </row>
    <row r="173">
      <c r="A173" s="1" t="s">
        <v>739</v>
      </c>
      <c r="B173" s="1" t="s">
        <v>360</v>
      </c>
      <c r="C173" s="1" t="s">
        <v>362</v>
      </c>
      <c r="D173" s="4">
        <v>1.0</v>
      </c>
      <c r="E173" s="4">
        <v>1.0</v>
      </c>
      <c r="F173" s="1" t="s">
        <v>201</v>
      </c>
    </row>
    <row r="174">
      <c r="A174" s="1" t="s">
        <v>739</v>
      </c>
      <c r="B174" s="1" t="s">
        <v>441</v>
      </c>
      <c r="C174" s="1" t="s">
        <v>445</v>
      </c>
      <c r="D174" s="4">
        <v>5.0</v>
      </c>
      <c r="E174" s="4">
        <v>5.0</v>
      </c>
      <c r="F174" s="1" t="s">
        <v>201</v>
      </c>
    </row>
    <row r="175">
      <c r="A175" s="1" t="s">
        <v>744</v>
      </c>
      <c r="B175" s="1" t="s">
        <v>537</v>
      </c>
      <c r="C175" s="1" t="s">
        <v>539</v>
      </c>
      <c r="D175" s="4">
        <v>10.0</v>
      </c>
      <c r="E175" s="4">
        <v>10.0</v>
      </c>
      <c r="F175" s="1" t="s">
        <v>201</v>
      </c>
    </row>
    <row r="176">
      <c r="A176" s="1" t="s">
        <v>751</v>
      </c>
      <c r="B176" s="1" t="s">
        <v>441</v>
      </c>
      <c r="C176" s="1" t="s">
        <v>445</v>
      </c>
      <c r="D176" s="4">
        <v>70.0</v>
      </c>
      <c r="E176" s="4">
        <v>70.0</v>
      </c>
      <c r="F176" s="1" t="s">
        <v>201</v>
      </c>
    </row>
    <row r="177">
      <c r="A177" s="1" t="s">
        <v>756</v>
      </c>
      <c r="B177" s="1" t="s">
        <v>331</v>
      </c>
      <c r="C177" s="1" t="s">
        <v>332</v>
      </c>
      <c r="D177" s="4">
        <v>10.0</v>
      </c>
      <c r="E177" s="4">
        <v>10.0</v>
      </c>
      <c r="F177" s="1" t="s">
        <v>323</v>
      </c>
    </row>
    <row r="178">
      <c r="A178" s="1" t="s">
        <v>760</v>
      </c>
      <c r="B178" s="1" t="s">
        <v>551</v>
      </c>
      <c r="C178" s="1" t="s">
        <v>552</v>
      </c>
      <c r="D178" s="4">
        <v>110.0</v>
      </c>
      <c r="E178" s="4">
        <v>110.0</v>
      </c>
      <c r="F178" s="1" t="s">
        <v>156</v>
      </c>
    </row>
    <row r="179">
      <c r="A179" s="1" t="s">
        <v>765</v>
      </c>
      <c r="B179" s="1" t="s">
        <v>405</v>
      </c>
      <c r="C179" s="1" t="s">
        <v>455</v>
      </c>
      <c r="D179" s="4">
        <v>20.0</v>
      </c>
      <c r="E179" s="4">
        <v>20.0</v>
      </c>
      <c r="F179" s="1" t="s">
        <v>201</v>
      </c>
    </row>
    <row r="180">
      <c r="A180" s="1" t="s">
        <v>765</v>
      </c>
      <c r="B180" s="1" t="s">
        <v>428</v>
      </c>
      <c r="C180" s="1" t="s">
        <v>429</v>
      </c>
      <c r="D180" s="4">
        <v>20.0</v>
      </c>
      <c r="E180" s="4">
        <v>20.0</v>
      </c>
      <c r="F180" s="1" t="s">
        <v>156</v>
      </c>
    </row>
    <row r="181">
      <c r="A181" s="1" t="s">
        <v>765</v>
      </c>
      <c r="B181" s="1" t="s">
        <v>551</v>
      </c>
      <c r="C181" s="1" t="s">
        <v>552</v>
      </c>
      <c r="D181" s="4">
        <v>30.0</v>
      </c>
      <c r="E181" s="4">
        <v>0.0</v>
      </c>
      <c r="F181" s="1" t="s">
        <v>156</v>
      </c>
    </row>
    <row r="182">
      <c r="A182" s="1" t="s">
        <v>772</v>
      </c>
      <c r="B182" s="1" t="s">
        <v>551</v>
      </c>
      <c r="C182" s="1" t="s">
        <v>552</v>
      </c>
      <c r="D182" s="4">
        <v>110.0</v>
      </c>
      <c r="E182" s="4">
        <v>110.0</v>
      </c>
      <c r="F182" s="1" t="s">
        <v>156</v>
      </c>
    </row>
    <row r="183">
      <c r="A183" s="1" t="s">
        <v>775</v>
      </c>
      <c r="B183" s="1" t="s">
        <v>331</v>
      </c>
      <c r="C183" s="1" t="s">
        <v>332</v>
      </c>
      <c r="D183" s="4">
        <v>10.0</v>
      </c>
      <c r="F183" s="1" t="s">
        <v>323</v>
      </c>
    </row>
    <row r="184">
      <c r="A184" s="1" t="s">
        <v>775</v>
      </c>
      <c r="B184" s="1" t="s">
        <v>405</v>
      </c>
      <c r="C184" s="1" t="s">
        <v>455</v>
      </c>
      <c r="D184" s="4">
        <v>50.0</v>
      </c>
      <c r="F184" s="1" t="s">
        <v>201</v>
      </c>
    </row>
    <row r="185">
      <c r="A185" s="1" t="s">
        <v>775</v>
      </c>
      <c r="B185" s="1" t="s">
        <v>441</v>
      </c>
      <c r="C185" s="1" t="s">
        <v>445</v>
      </c>
      <c r="D185" s="4">
        <v>50.0</v>
      </c>
      <c r="F185" s="1" t="s">
        <v>201</v>
      </c>
    </row>
    <row r="186">
      <c r="A186" s="1" t="s">
        <v>775</v>
      </c>
      <c r="B186" s="1" t="s">
        <v>428</v>
      </c>
      <c r="C186" s="1" t="s">
        <v>429</v>
      </c>
      <c r="D186" s="4">
        <v>50.0</v>
      </c>
      <c r="F186" s="1" t="s">
        <v>156</v>
      </c>
    </row>
    <row r="187">
      <c r="A187" s="1" t="s">
        <v>779</v>
      </c>
      <c r="B187" s="1" t="s">
        <v>331</v>
      </c>
      <c r="C187" s="1" t="s">
        <v>332</v>
      </c>
      <c r="D187" s="4">
        <v>10.0</v>
      </c>
      <c r="E187" s="4">
        <v>10.0</v>
      </c>
      <c r="F187" s="1" t="s">
        <v>323</v>
      </c>
    </row>
    <row r="188">
      <c r="A188" s="1" t="s">
        <v>779</v>
      </c>
      <c r="B188" s="1" t="s">
        <v>428</v>
      </c>
      <c r="C188" s="1" t="s">
        <v>429</v>
      </c>
      <c r="D188" s="4">
        <v>20.0</v>
      </c>
      <c r="E188" s="4">
        <v>20.0</v>
      </c>
      <c r="F188" s="1" t="s">
        <v>156</v>
      </c>
    </row>
    <row r="189">
      <c r="A189" s="1" t="s">
        <v>779</v>
      </c>
      <c r="B189" s="1" t="s">
        <v>441</v>
      </c>
      <c r="C189" s="1" t="s">
        <v>445</v>
      </c>
      <c r="D189" s="4">
        <v>50.0</v>
      </c>
      <c r="E189" s="4">
        <v>50.0</v>
      </c>
      <c r="F189" s="1" t="s">
        <v>201</v>
      </c>
    </row>
    <row r="190">
      <c r="A190" s="1" t="s">
        <v>779</v>
      </c>
      <c r="B190" s="1" t="s">
        <v>405</v>
      </c>
      <c r="C190" s="1" t="s">
        <v>455</v>
      </c>
      <c r="D190" s="4">
        <v>50.0</v>
      </c>
      <c r="E190" s="4">
        <v>50.0</v>
      </c>
      <c r="F190" s="1" t="s">
        <v>201</v>
      </c>
    </row>
    <row r="191">
      <c r="A191" s="1" t="s">
        <v>785</v>
      </c>
      <c r="B191" s="1" t="s">
        <v>262</v>
      </c>
      <c r="C191" s="1" t="s">
        <v>263</v>
      </c>
      <c r="D191" s="4">
        <v>100.0</v>
      </c>
      <c r="F191" s="1" t="s">
        <v>39</v>
      </c>
    </row>
    <row r="192">
      <c r="A192" s="1" t="s">
        <v>792</v>
      </c>
      <c r="B192" s="1" t="s">
        <v>325</v>
      </c>
      <c r="C192" s="1" t="s">
        <v>326</v>
      </c>
      <c r="D192" s="4">
        <v>100.0</v>
      </c>
      <c r="F192" s="1" t="s">
        <v>201</v>
      </c>
    </row>
    <row r="193">
      <c r="A193" s="1" t="s">
        <v>795</v>
      </c>
      <c r="B193" s="1" t="s">
        <v>186</v>
      </c>
      <c r="C193" s="1" t="s">
        <v>187</v>
      </c>
      <c r="D193" s="4">
        <v>100.0</v>
      </c>
      <c r="F193" s="1" t="s">
        <v>201</v>
      </c>
    </row>
    <row r="194">
      <c r="A194" s="1" t="s">
        <v>798</v>
      </c>
      <c r="B194" s="1" t="s">
        <v>395</v>
      </c>
      <c r="C194" s="1" t="s">
        <v>396</v>
      </c>
      <c r="D194" s="4">
        <v>100.0</v>
      </c>
      <c r="F194" s="1" t="s">
        <v>201</v>
      </c>
    </row>
    <row r="195">
      <c r="A195" s="1" t="s">
        <v>801</v>
      </c>
      <c r="B195" s="1" t="s">
        <v>56</v>
      </c>
      <c r="C195" s="1" t="s">
        <v>58</v>
      </c>
      <c r="D195" s="4">
        <v>100.0</v>
      </c>
      <c r="E195" s="4">
        <v>100.0</v>
      </c>
      <c r="F195" s="1" t="s">
        <v>39</v>
      </c>
    </row>
    <row r="196">
      <c r="A196" s="1" t="s">
        <v>801</v>
      </c>
      <c r="B196" s="1" t="s">
        <v>262</v>
      </c>
      <c r="C196" s="1" t="s">
        <v>263</v>
      </c>
      <c r="D196" s="4">
        <v>67.0</v>
      </c>
      <c r="E196" s="4">
        <v>67.0</v>
      </c>
      <c r="F196" s="1" t="s">
        <v>39</v>
      </c>
    </row>
    <row r="197">
      <c r="A197" s="1" t="s">
        <v>801</v>
      </c>
      <c r="B197" s="1" t="s">
        <v>325</v>
      </c>
      <c r="C197" s="1" t="s">
        <v>326</v>
      </c>
      <c r="D197" s="4">
        <v>100.0</v>
      </c>
      <c r="E197" s="4">
        <v>100.0</v>
      </c>
      <c r="F197" s="1" t="s">
        <v>201</v>
      </c>
    </row>
    <row r="198">
      <c r="A198" s="1" t="s">
        <v>801</v>
      </c>
      <c r="B198" s="1" t="s">
        <v>395</v>
      </c>
      <c r="C198" s="1" t="s">
        <v>396</v>
      </c>
      <c r="D198" s="4">
        <v>100.0</v>
      </c>
      <c r="E198" s="4">
        <v>100.0</v>
      </c>
      <c r="F198" s="1" t="s">
        <v>201</v>
      </c>
    </row>
    <row r="199">
      <c r="A199" s="1" t="s">
        <v>801</v>
      </c>
      <c r="B199" s="1" t="s">
        <v>186</v>
      </c>
      <c r="C199" s="1" t="s">
        <v>187</v>
      </c>
      <c r="D199" s="4">
        <v>100.0</v>
      </c>
      <c r="E199" s="4">
        <v>100.0</v>
      </c>
      <c r="F199" s="1" t="s">
        <v>201</v>
      </c>
    </row>
    <row r="200">
      <c r="A200" s="1" t="s">
        <v>805</v>
      </c>
      <c r="B200" s="1" t="s">
        <v>266</v>
      </c>
      <c r="C200" s="1" t="s">
        <v>267</v>
      </c>
      <c r="D200" s="4">
        <v>250.0</v>
      </c>
      <c r="F200" s="1" t="s">
        <v>39</v>
      </c>
    </row>
    <row r="201">
      <c r="A201" s="1" t="s">
        <v>805</v>
      </c>
      <c r="B201" s="1" t="s">
        <v>563</v>
      </c>
      <c r="C201" s="1" t="s">
        <v>564</v>
      </c>
      <c r="D201" s="4">
        <v>100.0</v>
      </c>
      <c r="F201" s="1" t="s">
        <v>565</v>
      </c>
    </row>
    <row r="202">
      <c r="A202" s="1" t="s">
        <v>805</v>
      </c>
      <c r="B202" s="1" t="s">
        <v>575</v>
      </c>
      <c r="C202" s="1" t="s">
        <v>982</v>
      </c>
      <c r="D202" s="4">
        <v>100.0</v>
      </c>
      <c r="F202" s="1" t="s">
        <v>201</v>
      </c>
    </row>
    <row r="203">
      <c r="A203" s="1" t="s">
        <v>811</v>
      </c>
      <c r="B203" s="1" t="s">
        <v>56</v>
      </c>
      <c r="C203" s="1" t="s">
        <v>58</v>
      </c>
      <c r="D203" s="4">
        <v>100.0</v>
      </c>
      <c r="F203" s="1" t="s">
        <v>39</v>
      </c>
    </row>
    <row r="204">
      <c r="A204" s="1" t="s">
        <v>811</v>
      </c>
      <c r="B204" s="1" t="s">
        <v>395</v>
      </c>
      <c r="C204" s="1" t="s">
        <v>396</v>
      </c>
      <c r="D204" s="4">
        <v>100.0</v>
      </c>
      <c r="F204" s="1" t="s">
        <v>201</v>
      </c>
    </row>
    <row r="205">
      <c r="A205" s="1" t="s">
        <v>811</v>
      </c>
      <c r="B205" s="1" t="s">
        <v>405</v>
      </c>
      <c r="C205" s="1" t="s">
        <v>455</v>
      </c>
      <c r="D205" s="4">
        <v>10.0</v>
      </c>
      <c r="F205" s="1" t="s">
        <v>201</v>
      </c>
    </row>
    <row r="206">
      <c r="A206" s="1" t="s">
        <v>811</v>
      </c>
      <c r="B206" s="1" t="s">
        <v>428</v>
      </c>
      <c r="C206" s="1" t="s">
        <v>429</v>
      </c>
      <c r="D206" s="4">
        <v>10.0</v>
      </c>
      <c r="F206" s="1" t="s">
        <v>156</v>
      </c>
    </row>
    <row r="207">
      <c r="A207" s="1" t="s">
        <v>811</v>
      </c>
      <c r="B207" s="1" t="s">
        <v>441</v>
      </c>
      <c r="C207" s="1" t="s">
        <v>445</v>
      </c>
      <c r="D207" s="4">
        <v>20.0</v>
      </c>
      <c r="F207" s="1" t="s">
        <v>201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16.25"/>
    <col customWidth="1" min="6" max="6" width="9.5"/>
    <col customWidth="1" min="7" max="7" width="21.25"/>
    <col customWidth="1" min="8" max="8" width="19.0"/>
    <col customWidth="1" min="10" max="10" width="34.0"/>
  </cols>
  <sheetData>
    <row r="1">
      <c r="A1" s="1" t="s">
        <v>3</v>
      </c>
      <c r="B1" s="1" t="s">
        <v>9</v>
      </c>
      <c r="C1" s="1" t="s">
        <v>1</v>
      </c>
      <c r="D1" s="1" t="s">
        <v>16</v>
      </c>
      <c r="E1" s="1" t="s">
        <v>19</v>
      </c>
      <c r="F1" s="1" t="s">
        <v>22</v>
      </c>
      <c r="G1" s="1" t="s">
        <v>24</v>
      </c>
      <c r="H1" s="1" t="s">
        <v>27</v>
      </c>
      <c r="I1" s="1" t="s">
        <v>14</v>
      </c>
      <c r="J1" s="1" t="s">
        <v>28</v>
      </c>
      <c r="K1" s="1" t="s">
        <v>729</v>
      </c>
      <c r="L1" s="1" t="s">
        <v>13</v>
      </c>
    </row>
    <row r="2">
      <c r="B2" s="1" t="s">
        <v>260</v>
      </c>
      <c r="C2" s="1" t="s">
        <v>266</v>
      </c>
      <c r="D2" s="4">
        <v>80.0</v>
      </c>
      <c r="E2" s="1" t="s">
        <v>171</v>
      </c>
      <c r="F2" s="6">
        <v>46105.0</v>
      </c>
      <c r="G2" s="1" t="s">
        <v>278</v>
      </c>
      <c r="H2" s="1" t="s">
        <v>89</v>
      </c>
      <c r="I2" s="1" t="s">
        <v>280</v>
      </c>
    </row>
    <row r="3">
      <c r="B3" s="1" t="s">
        <v>260</v>
      </c>
      <c r="C3" s="1" t="s">
        <v>291</v>
      </c>
      <c r="D3" s="4">
        <v>41.0</v>
      </c>
      <c r="E3" s="1" t="s">
        <v>171</v>
      </c>
      <c r="F3" s="6">
        <v>46105.0</v>
      </c>
      <c r="G3" s="1" t="s">
        <v>278</v>
      </c>
      <c r="H3" s="1" t="s">
        <v>89</v>
      </c>
      <c r="I3" s="1" t="s">
        <v>280</v>
      </c>
    </row>
    <row r="4">
      <c r="B4" s="1" t="s">
        <v>282</v>
      </c>
      <c r="C4" s="1" t="s">
        <v>56</v>
      </c>
      <c r="D4" s="4">
        <v>1.0</v>
      </c>
      <c r="E4" s="1" t="s">
        <v>171</v>
      </c>
      <c r="F4" s="6">
        <v>46105.0</v>
      </c>
      <c r="G4" s="1" t="s">
        <v>289</v>
      </c>
      <c r="H4" s="1" t="s">
        <v>89</v>
      </c>
      <c r="I4" s="1" t="s">
        <v>280</v>
      </c>
    </row>
    <row r="5">
      <c r="B5" s="1" t="s">
        <v>282</v>
      </c>
      <c r="C5" s="1" t="s">
        <v>262</v>
      </c>
      <c r="D5" s="4">
        <v>2.0</v>
      </c>
      <c r="E5" s="1" t="s">
        <v>171</v>
      </c>
      <c r="F5" s="6">
        <v>46105.0</v>
      </c>
      <c r="G5" s="1" t="s">
        <v>289</v>
      </c>
      <c r="H5" s="1" t="s">
        <v>89</v>
      </c>
      <c r="I5" s="1" t="s">
        <v>280</v>
      </c>
    </row>
    <row r="6">
      <c r="B6" s="1" t="s">
        <v>282</v>
      </c>
      <c r="C6" s="1" t="s">
        <v>272</v>
      </c>
      <c r="D6" s="4">
        <v>1.0</v>
      </c>
      <c r="E6" s="1" t="s">
        <v>171</v>
      </c>
      <c r="F6" s="6">
        <v>46105.0</v>
      </c>
      <c r="G6" s="1" t="s">
        <v>289</v>
      </c>
      <c r="H6" s="1" t="s">
        <v>89</v>
      </c>
      <c r="I6" s="1" t="s">
        <v>280</v>
      </c>
    </row>
    <row r="7">
      <c r="B7" s="1" t="s">
        <v>282</v>
      </c>
      <c r="C7" s="1" t="s">
        <v>291</v>
      </c>
      <c r="D7" s="4">
        <v>2.0</v>
      </c>
      <c r="E7" s="1" t="s">
        <v>171</v>
      </c>
      <c r="F7" s="6">
        <v>46105.0</v>
      </c>
      <c r="G7" s="1" t="s">
        <v>289</v>
      </c>
      <c r="H7" s="1" t="s">
        <v>89</v>
      </c>
      <c r="I7" s="1" t="s">
        <v>280</v>
      </c>
    </row>
    <row r="8">
      <c r="B8" s="1" t="s">
        <v>290</v>
      </c>
      <c r="C8" s="1" t="s">
        <v>266</v>
      </c>
      <c r="D8" s="4">
        <v>20.0</v>
      </c>
      <c r="E8" s="1" t="s">
        <v>171</v>
      </c>
      <c r="F8" s="6">
        <v>46105.0</v>
      </c>
      <c r="G8" s="1" t="s">
        <v>296</v>
      </c>
      <c r="H8" s="1" t="s">
        <v>89</v>
      </c>
      <c r="I8" s="1" t="s">
        <v>280</v>
      </c>
    </row>
    <row r="9">
      <c r="B9" s="1" t="s">
        <v>297</v>
      </c>
      <c r="C9" s="1" t="s">
        <v>272</v>
      </c>
      <c r="D9" s="4">
        <v>10.0</v>
      </c>
      <c r="E9" s="1" t="s">
        <v>171</v>
      </c>
      <c r="F9" s="6">
        <v>46105.0</v>
      </c>
      <c r="G9" s="1" t="s">
        <v>302</v>
      </c>
      <c r="H9" s="1" t="s">
        <v>89</v>
      </c>
      <c r="I9" s="1" t="s">
        <v>280</v>
      </c>
    </row>
    <row r="10">
      <c r="B10" s="1" t="s">
        <v>297</v>
      </c>
      <c r="C10" s="1" t="s">
        <v>325</v>
      </c>
      <c r="D10" s="4">
        <v>1000.0</v>
      </c>
      <c r="E10" s="1" t="s">
        <v>171</v>
      </c>
      <c r="F10" s="6">
        <v>46105.0</v>
      </c>
      <c r="G10" s="1" t="s">
        <v>302</v>
      </c>
      <c r="H10" s="1" t="s">
        <v>89</v>
      </c>
      <c r="I10" s="1" t="s">
        <v>280</v>
      </c>
    </row>
    <row r="11">
      <c r="B11" s="1" t="s">
        <v>303</v>
      </c>
      <c r="C11" s="1" t="s">
        <v>266</v>
      </c>
      <c r="D11" s="4">
        <v>30.0</v>
      </c>
      <c r="E11" s="1" t="s">
        <v>171</v>
      </c>
      <c r="F11" s="6">
        <v>46105.0</v>
      </c>
      <c r="G11" s="1" t="s">
        <v>309</v>
      </c>
      <c r="H11" s="1" t="s">
        <v>89</v>
      </c>
      <c r="I11" s="1" t="s">
        <v>280</v>
      </c>
    </row>
    <row r="12">
      <c r="B12" s="1" t="s">
        <v>310</v>
      </c>
      <c r="C12" s="1" t="s">
        <v>331</v>
      </c>
      <c r="D12" s="4">
        <v>5.0</v>
      </c>
      <c r="E12" s="1" t="s">
        <v>171</v>
      </c>
      <c r="F12" s="6">
        <v>46105.0</v>
      </c>
      <c r="G12" s="1" t="s">
        <v>313</v>
      </c>
      <c r="H12" s="1" t="s">
        <v>89</v>
      </c>
      <c r="I12" s="1" t="s">
        <v>280</v>
      </c>
    </row>
    <row r="13">
      <c r="B13" s="1" t="s">
        <v>314</v>
      </c>
      <c r="C13" s="1" t="s">
        <v>272</v>
      </c>
      <c r="D13" s="4">
        <v>10.0</v>
      </c>
      <c r="E13" s="1" t="s">
        <v>171</v>
      </c>
      <c r="F13" s="6">
        <v>46105.0</v>
      </c>
      <c r="G13" s="1" t="s">
        <v>319</v>
      </c>
      <c r="H13" s="1" t="s">
        <v>89</v>
      </c>
      <c r="I13" s="1" t="s">
        <v>280</v>
      </c>
    </row>
    <row r="14">
      <c r="B14" s="1" t="s">
        <v>320</v>
      </c>
      <c r="C14" s="1" t="s">
        <v>291</v>
      </c>
      <c r="D14" s="4">
        <v>40.0</v>
      </c>
      <c r="E14" s="1" t="s">
        <v>171</v>
      </c>
      <c r="F14" s="6">
        <v>46107.0</v>
      </c>
      <c r="G14" s="1" t="s">
        <v>329</v>
      </c>
      <c r="H14" s="1" t="s">
        <v>89</v>
      </c>
      <c r="I14" s="1" t="s">
        <v>280</v>
      </c>
    </row>
    <row r="15">
      <c r="B15" s="1" t="s">
        <v>330</v>
      </c>
      <c r="C15" s="1" t="s">
        <v>272</v>
      </c>
      <c r="D15" s="4">
        <v>500.0</v>
      </c>
      <c r="E15" s="1" t="s">
        <v>171</v>
      </c>
      <c r="F15" s="6">
        <v>46108.0</v>
      </c>
      <c r="G15" s="1" t="s">
        <v>337</v>
      </c>
      <c r="H15" s="1" t="s">
        <v>89</v>
      </c>
      <c r="I15" s="1" t="s">
        <v>280</v>
      </c>
    </row>
    <row r="16">
      <c r="B16" s="1" t="s">
        <v>330</v>
      </c>
      <c r="C16" s="1" t="s">
        <v>56</v>
      </c>
      <c r="D16" s="4">
        <v>200.0</v>
      </c>
      <c r="E16" s="1" t="s">
        <v>171</v>
      </c>
      <c r="F16" s="6">
        <v>46108.0</v>
      </c>
      <c r="G16" s="1" t="s">
        <v>337</v>
      </c>
      <c r="H16" s="1" t="s">
        <v>89</v>
      </c>
      <c r="I16" s="1" t="s">
        <v>280</v>
      </c>
    </row>
    <row r="17">
      <c r="B17" s="1" t="s">
        <v>330</v>
      </c>
      <c r="C17" s="1" t="s">
        <v>81</v>
      </c>
      <c r="D17" s="4">
        <v>100.0</v>
      </c>
      <c r="E17" s="1" t="s">
        <v>171</v>
      </c>
      <c r="F17" s="6">
        <v>46108.0</v>
      </c>
      <c r="G17" s="1" t="s">
        <v>337</v>
      </c>
      <c r="H17" s="1" t="s">
        <v>89</v>
      </c>
      <c r="I17" s="1" t="s">
        <v>280</v>
      </c>
    </row>
    <row r="18">
      <c r="B18" s="1" t="s">
        <v>338</v>
      </c>
      <c r="C18" s="1" t="s">
        <v>331</v>
      </c>
      <c r="D18" s="4">
        <v>10.0</v>
      </c>
      <c r="E18" s="1" t="s">
        <v>171</v>
      </c>
      <c r="F18" s="6">
        <v>46108.0</v>
      </c>
      <c r="G18" s="1" t="s">
        <v>345</v>
      </c>
      <c r="H18" s="1" t="s">
        <v>89</v>
      </c>
      <c r="I18" s="1" t="s">
        <v>280</v>
      </c>
    </row>
    <row r="19">
      <c r="B19" s="1" t="s">
        <v>346</v>
      </c>
      <c r="C19" s="1" t="s">
        <v>339</v>
      </c>
      <c r="D19" s="4">
        <v>1.0</v>
      </c>
      <c r="E19" s="1" t="s">
        <v>171</v>
      </c>
      <c r="F19" s="6">
        <v>46108.0</v>
      </c>
      <c r="G19" s="1" t="s">
        <v>352</v>
      </c>
      <c r="H19" s="1" t="s">
        <v>89</v>
      </c>
      <c r="I19" s="1" t="s">
        <v>280</v>
      </c>
    </row>
    <row r="20">
      <c r="B20" s="1" t="s">
        <v>355</v>
      </c>
      <c r="C20" s="1" t="s">
        <v>266</v>
      </c>
      <c r="D20" s="4">
        <v>20.0</v>
      </c>
      <c r="E20" s="1" t="s">
        <v>171</v>
      </c>
      <c r="F20" s="6">
        <v>46113.0</v>
      </c>
      <c r="G20" s="1" t="s">
        <v>361</v>
      </c>
      <c r="H20" s="1" t="s">
        <v>89</v>
      </c>
      <c r="I20" s="1" t="s">
        <v>280</v>
      </c>
    </row>
    <row r="21">
      <c r="B21" s="1" t="s">
        <v>355</v>
      </c>
      <c r="C21" s="1" t="s">
        <v>272</v>
      </c>
      <c r="D21" s="4">
        <v>5.0</v>
      </c>
      <c r="E21" s="1" t="s">
        <v>171</v>
      </c>
      <c r="F21" s="6">
        <v>46113.0</v>
      </c>
      <c r="G21" s="1" t="s">
        <v>361</v>
      </c>
      <c r="H21" s="1" t="s">
        <v>89</v>
      </c>
      <c r="I21" s="1" t="s">
        <v>280</v>
      </c>
    </row>
    <row r="22">
      <c r="B22" s="1" t="s">
        <v>355</v>
      </c>
      <c r="C22" s="1" t="s">
        <v>291</v>
      </c>
      <c r="D22" s="4">
        <v>5.0</v>
      </c>
      <c r="E22" s="1" t="s">
        <v>171</v>
      </c>
      <c r="F22" s="6">
        <v>46113.0</v>
      </c>
      <c r="G22" s="1" t="s">
        <v>361</v>
      </c>
      <c r="H22" s="1" t="s">
        <v>89</v>
      </c>
      <c r="I22" s="1" t="s">
        <v>280</v>
      </c>
    </row>
    <row r="23">
      <c r="B23" s="1" t="s">
        <v>364</v>
      </c>
      <c r="C23" s="1" t="s">
        <v>395</v>
      </c>
      <c r="D23" s="4">
        <v>20.0</v>
      </c>
      <c r="E23" s="1" t="s">
        <v>171</v>
      </c>
      <c r="F23" s="6">
        <v>46113.0</v>
      </c>
      <c r="G23" s="1" t="s">
        <v>368</v>
      </c>
      <c r="H23" s="1" t="s">
        <v>89</v>
      </c>
      <c r="I23" s="1" t="s">
        <v>280</v>
      </c>
    </row>
    <row r="24">
      <c r="B24" s="1" t="s">
        <v>371</v>
      </c>
      <c r="C24" s="1" t="s">
        <v>266</v>
      </c>
      <c r="D24" s="4">
        <v>60.0</v>
      </c>
      <c r="E24" s="1" t="s">
        <v>171</v>
      </c>
      <c r="F24" s="6">
        <v>46119.0</v>
      </c>
      <c r="G24" s="1" t="s">
        <v>375</v>
      </c>
      <c r="H24" s="1" t="s">
        <v>89</v>
      </c>
      <c r="I24" s="1" t="s">
        <v>280</v>
      </c>
    </row>
    <row r="25">
      <c r="B25" s="1" t="s">
        <v>371</v>
      </c>
      <c r="C25" s="1" t="s">
        <v>395</v>
      </c>
      <c r="D25" s="4">
        <v>300.0</v>
      </c>
      <c r="E25" s="1" t="s">
        <v>171</v>
      </c>
      <c r="F25" s="6">
        <v>46119.0</v>
      </c>
      <c r="G25" s="1" t="s">
        <v>375</v>
      </c>
      <c r="H25" s="1" t="s">
        <v>89</v>
      </c>
      <c r="I25" s="1" t="s">
        <v>280</v>
      </c>
    </row>
    <row r="26">
      <c r="B26" s="1" t="s">
        <v>371</v>
      </c>
      <c r="C26" s="1" t="s">
        <v>412</v>
      </c>
      <c r="D26" s="4">
        <v>160.0</v>
      </c>
      <c r="E26" s="1" t="s">
        <v>171</v>
      </c>
      <c r="F26" s="6">
        <v>46119.0</v>
      </c>
      <c r="G26" s="1" t="s">
        <v>375</v>
      </c>
      <c r="H26" s="1" t="s">
        <v>89</v>
      </c>
      <c r="I26" s="1" t="s">
        <v>280</v>
      </c>
    </row>
    <row r="27">
      <c r="B27" s="1" t="s">
        <v>371</v>
      </c>
      <c r="C27" s="1" t="s">
        <v>325</v>
      </c>
      <c r="D27" s="4">
        <v>1200.0</v>
      </c>
      <c r="E27" s="1" t="s">
        <v>171</v>
      </c>
      <c r="F27" s="6">
        <v>46119.0</v>
      </c>
      <c r="G27" s="1" t="s">
        <v>375</v>
      </c>
      <c r="H27" s="1" t="s">
        <v>89</v>
      </c>
      <c r="I27" s="1" t="s">
        <v>280</v>
      </c>
    </row>
    <row r="28">
      <c r="B28" s="1" t="s">
        <v>371</v>
      </c>
      <c r="C28" s="1" t="s">
        <v>81</v>
      </c>
      <c r="D28" s="4">
        <v>30.0</v>
      </c>
      <c r="E28" s="1" t="s">
        <v>171</v>
      </c>
      <c r="F28" s="6">
        <v>46119.0</v>
      </c>
      <c r="G28" s="1" t="s">
        <v>375</v>
      </c>
      <c r="H28" s="1" t="s">
        <v>89</v>
      </c>
      <c r="I28" s="1" t="s">
        <v>280</v>
      </c>
    </row>
    <row r="29">
      <c r="B29" s="1" t="s">
        <v>371</v>
      </c>
      <c r="C29" s="1" t="s">
        <v>272</v>
      </c>
      <c r="D29" s="4">
        <v>30.0</v>
      </c>
      <c r="E29" s="1" t="s">
        <v>171</v>
      </c>
      <c r="F29" s="6">
        <v>46119.0</v>
      </c>
      <c r="G29" s="1" t="s">
        <v>375</v>
      </c>
      <c r="H29" s="1" t="s">
        <v>89</v>
      </c>
      <c r="I29" s="1" t="s">
        <v>280</v>
      </c>
    </row>
    <row r="30">
      <c r="B30" s="1" t="s">
        <v>379</v>
      </c>
      <c r="C30" s="1" t="s">
        <v>428</v>
      </c>
      <c r="D30" s="4">
        <v>30.0</v>
      </c>
      <c r="E30" s="1" t="s">
        <v>171</v>
      </c>
      <c r="F30" s="6">
        <v>46132.0</v>
      </c>
      <c r="G30" s="1" t="s">
        <v>382</v>
      </c>
      <c r="H30" s="1" t="s">
        <v>89</v>
      </c>
      <c r="I30" s="1" t="s">
        <v>280</v>
      </c>
    </row>
    <row r="31">
      <c r="B31" s="1" t="s">
        <v>386</v>
      </c>
      <c r="C31" s="1" t="s">
        <v>81</v>
      </c>
      <c r="D31" s="4">
        <v>70.0</v>
      </c>
      <c r="E31" s="1" t="s">
        <v>171</v>
      </c>
      <c r="F31" s="6">
        <v>46132.0</v>
      </c>
      <c r="G31" s="1" t="s">
        <v>394</v>
      </c>
      <c r="H31" s="1" t="s">
        <v>89</v>
      </c>
      <c r="I31" s="1" t="s">
        <v>280</v>
      </c>
    </row>
    <row r="32">
      <c r="B32" s="1" t="s">
        <v>397</v>
      </c>
      <c r="C32" s="1" t="s">
        <v>33</v>
      </c>
      <c r="D32" s="4">
        <v>50.0</v>
      </c>
      <c r="E32" s="1" t="s">
        <v>171</v>
      </c>
      <c r="F32" s="6">
        <v>46133.0</v>
      </c>
      <c r="G32" s="1" t="s">
        <v>402</v>
      </c>
      <c r="H32" s="1" t="s">
        <v>89</v>
      </c>
      <c r="I32" s="1" t="s">
        <v>280</v>
      </c>
    </row>
    <row r="33">
      <c r="B33" s="1" t="s">
        <v>403</v>
      </c>
      <c r="C33" s="1" t="s">
        <v>441</v>
      </c>
      <c r="D33" s="4">
        <v>20.0</v>
      </c>
      <c r="E33" s="1" t="s">
        <v>171</v>
      </c>
      <c r="F33" s="6">
        <v>46133.0</v>
      </c>
      <c r="G33" s="1" t="s">
        <v>410</v>
      </c>
      <c r="H33" s="1" t="s">
        <v>89</v>
      </c>
      <c r="I33" s="1" t="s">
        <v>280</v>
      </c>
    </row>
    <row r="34">
      <c r="B34" s="1" t="s">
        <v>403</v>
      </c>
      <c r="C34" s="1" t="s">
        <v>405</v>
      </c>
      <c r="D34" s="4">
        <v>5.0</v>
      </c>
      <c r="E34" s="1" t="s">
        <v>171</v>
      </c>
      <c r="F34" s="6">
        <v>46133.0</v>
      </c>
      <c r="G34" s="1" t="s">
        <v>410</v>
      </c>
      <c r="H34" s="1" t="s">
        <v>89</v>
      </c>
      <c r="I34" s="1" t="s">
        <v>280</v>
      </c>
    </row>
    <row r="35">
      <c r="B35" s="1" t="s">
        <v>403</v>
      </c>
      <c r="C35" s="1" t="s">
        <v>412</v>
      </c>
      <c r="D35" s="4">
        <v>10.0</v>
      </c>
      <c r="E35" s="1" t="s">
        <v>171</v>
      </c>
      <c r="F35" s="6">
        <v>46133.0</v>
      </c>
      <c r="G35" s="1" t="s">
        <v>410</v>
      </c>
      <c r="H35" s="1" t="s">
        <v>89</v>
      </c>
      <c r="I35" s="1" t="s">
        <v>280</v>
      </c>
    </row>
    <row r="36">
      <c r="B36" s="1" t="s">
        <v>411</v>
      </c>
      <c r="C36" s="1" t="s">
        <v>441</v>
      </c>
      <c r="D36" s="4">
        <v>100.0</v>
      </c>
      <c r="E36" s="1" t="s">
        <v>171</v>
      </c>
      <c r="F36" s="6">
        <v>46133.0</v>
      </c>
      <c r="G36" s="1" t="s">
        <v>416</v>
      </c>
      <c r="H36" s="1" t="s">
        <v>89</v>
      </c>
      <c r="I36" s="1" t="s">
        <v>280</v>
      </c>
    </row>
    <row r="37">
      <c r="B37" s="1" t="s">
        <v>417</v>
      </c>
      <c r="C37" s="1" t="s">
        <v>448</v>
      </c>
      <c r="D37" s="4">
        <v>770.0</v>
      </c>
      <c r="E37" s="1" t="s">
        <v>171</v>
      </c>
      <c r="F37" s="6">
        <v>46133.0</v>
      </c>
      <c r="G37" s="1" t="s">
        <v>423</v>
      </c>
      <c r="H37" s="1" t="s">
        <v>89</v>
      </c>
      <c r="I37" s="1" t="s">
        <v>280</v>
      </c>
    </row>
    <row r="38">
      <c r="B38" s="1" t="s">
        <v>424</v>
      </c>
      <c r="C38" s="1" t="s">
        <v>266</v>
      </c>
      <c r="D38" s="4">
        <v>20.0</v>
      </c>
      <c r="E38" s="1" t="s">
        <v>171</v>
      </c>
      <c r="F38" s="6">
        <v>46135.0</v>
      </c>
      <c r="G38" s="1" t="s">
        <v>433</v>
      </c>
      <c r="H38" s="1" t="s">
        <v>89</v>
      </c>
      <c r="I38" s="1" t="s">
        <v>280</v>
      </c>
    </row>
    <row r="39">
      <c r="B39" s="1" t="s">
        <v>424</v>
      </c>
      <c r="C39" s="1" t="s">
        <v>272</v>
      </c>
      <c r="D39" s="4">
        <v>5.0</v>
      </c>
      <c r="E39" s="1" t="s">
        <v>171</v>
      </c>
      <c r="F39" s="6">
        <v>46135.0</v>
      </c>
      <c r="G39" s="1" t="s">
        <v>433</v>
      </c>
      <c r="H39" s="1" t="s">
        <v>89</v>
      </c>
      <c r="I39" s="1" t="s">
        <v>280</v>
      </c>
    </row>
    <row r="40">
      <c r="B40" s="1" t="s">
        <v>424</v>
      </c>
      <c r="C40" s="1" t="s">
        <v>395</v>
      </c>
      <c r="D40" s="4">
        <v>10.0</v>
      </c>
      <c r="E40" s="1" t="s">
        <v>171</v>
      </c>
      <c r="F40" s="6">
        <v>46135.0</v>
      </c>
      <c r="G40" s="1" t="s">
        <v>433</v>
      </c>
      <c r="H40" s="1" t="s">
        <v>89</v>
      </c>
      <c r="I40" s="1" t="s">
        <v>280</v>
      </c>
    </row>
    <row r="41">
      <c r="B41" s="1" t="s">
        <v>435</v>
      </c>
      <c r="C41" s="1" t="s">
        <v>405</v>
      </c>
      <c r="D41" s="4">
        <v>10.0</v>
      </c>
      <c r="E41" s="1" t="s">
        <v>171</v>
      </c>
      <c r="F41" s="6">
        <v>46135.0</v>
      </c>
      <c r="G41" s="1" t="s">
        <v>440</v>
      </c>
      <c r="H41" s="1" t="s">
        <v>89</v>
      </c>
      <c r="I41" s="1" t="s">
        <v>280</v>
      </c>
    </row>
    <row r="42">
      <c r="B42" s="1" t="s">
        <v>435</v>
      </c>
      <c r="C42" s="1" t="s">
        <v>441</v>
      </c>
      <c r="D42" s="4">
        <v>10.0</v>
      </c>
      <c r="E42" s="1" t="s">
        <v>171</v>
      </c>
      <c r="F42" s="6">
        <v>46135.0</v>
      </c>
      <c r="G42" s="1" t="s">
        <v>440</v>
      </c>
      <c r="H42" s="1" t="s">
        <v>89</v>
      </c>
      <c r="I42" s="1" t="s">
        <v>280</v>
      </c>
    </row>
    <row r="43">
      <c r="B43" s="1" t="s">
        <v>444</v>
      </c>
      <c r="C43" s="1" t="s">
        <v>56</v>
      </c>
      <c r="D43" s="4">
        <v>100.0</v>
      </c>
      <c r="E43" s="1" t="s">
        <v>171</v>
      </c>
      <c r="F43" s="6">
        <v>46135.0</v>
      </c>
      <c r="G43" s="1" t="s">
        <v>451</v>
      </c>
      <c r="H43" s="1" t="s">
        <v>89</v>
      </c>
      <c r="I43" s="1" t="s">
        <v>280</v>
      </c>
    </row>
    <row r="44">
      <c r="B44" s="1" t="s">
        <v>444</v>
      </c>
      <c r="C44" s="1" t="s">
        <v>272</v>
      </c>
      <c r="D44" s="4">
        <v>50.0</v>
      </c>
      <c r="E44" s="1" t="s">
        <v>171</v>
      </c>
      <c r="F44" s="6">
        <v>46135.0</v>
      </c>
      <c r="G44" s="1" t="s">
        <v>451</v>
      </c>
      <c r="H44" s="1" t="s">
        <v>89</v>
      </c>
      <c r="I44" s="1" t="s">
        <v>280</v>
      </c>
    </row>
    <row r="45">
      <c r="B45" s="1" t="s">
        <v>444</v>
      </c>
      <c r="C45" s="1" t="s">
        <v>217</v>
      </c>
      <c r="D45" s="1">
        <v>47.0</v>
      </c>
      <c r="E45" s="1" t="s">
        <v>171</v>
      </c>
      <c r="F45" s="6">
        <v>46135.0</v>
      </c>
      <c r="G45" s="1" t="s">
        <v>451</v>
      </c>
      <c r="H45" s="1" t="s">
        <v>89</v>
      </c>
      <c r="I45" s="1" t="s">
        <v>280</v>
      </c>
    </row>
    <row r="46">
      <c r="B46" s="1" t="s">
        <v>444</v>
      </c>
      <c r="C46" s="1" t="s">
        <v>331</v>
      </c>
      <c r="D46" s="1">
        <v>4.0</v>
      </c>
      <c r="E46" s="1" t="s">
        <v>171</v>
      </c>
      <c r="F46" s="6">
        <v>46135.0</v>
      </c>
      <c r="G46" s="1" t="s">
        <v>451</v>
      </c>
      <c r="H46" s="1" t="s">
        <v>89</v>
      </c>
      <c r="I46" s="1" t="s">
        <v>280</v>
      </c>
    </row>
    <row r="47">
      <c r="B47" s="1" t="s">
        <v>444</v>
      </c>
      <c r="C47" s="1" t="s">
        <v>405</v>
      </c>
      <c r="D47" s="4">
        <v>20.0</v>
      </c>
      <c r="E47" s="1" t="s">
        <v>171</v>
      </c>
      <c r="F47" s="6">
        <v>46135.0</v>
      </c>
      <c r="G47" s="1" t="s">
        <v>451</v>
      </c>
      <c r="H47" s="1" t="s">
        <v>89</v>
      </c>
      <c r="I47" s="1" t="s">
        <v>280</v>
      </c>
    </row>
    <row r="48">
      <c r="B48" s="1" t="s">
        <v>444</v>
      </c>
      <c r="C48" s="1" t="s">
        <v>395</v>
      </c>
      <c r="D48" s="4">
        <v>50.0</v>
      </c>
      <c r="E48" s="1" t="s">
        <v>171</v>
      </c>
      <c r="F48" s="6">
        <v>46135.0</v>
      </c>
      <c r="G48" s="1" t="s">
        <v>451</v>
      </c>
      <c r="H48" s="1" t="s">
        <v>89</v>
      </c>
      <c r="I48" s="1" t="s">
        <v>280</v>
      </c>
    </row>
    <row r="49">
      <c r="B49" s="1" t="s">
        <v>444</v>
      </c>
      <c r="C49" s="1" t="s">
        <v>428</v>
      </c>
      <c r="D49" s="4">
        <v>1.0</v>
      </c>
      <c r="E49" s="1" t="s">
        <v>171</v>
      </c>
      <c r="F49" s="6">
        <v>46135.0</v>
      </c>
      <c r="G49" s="1" t="s">
        <v>451</v>
      </c>
      <c r="H49" s="1" t="s">
        <v>89</v>
      </c>
      <c r="I49" s="1" t="s">
        <v>280</v>
      </c>
    </row>
    <row r="50">
      <c r="B50" s="1" t="s">
        <v>444</v>
      </c>
      <c r="C50" s="1" t="s">
        <v>266</v>
      </c>
      <c r="D50" s="4">
        <v>80.0</v>
      </c>
      <c r="E50" s="1" t="s">
        <v>171</v>
      </c>
      <c r="F50" s="6">
        <v>46135.0</v>
      </c>
      <c r="G50" s="1" t="s">
        <v>451</v>
      </c>
      <c r="H50" s="1" t="s">
        <v>89</v>
      </c>
      <c r="I50" s="1" t="s">
        <v>280</v>
      </c>
    </row>
    <row r="51">
      <c r="B51" s="1" t="s">
        <v>454</v>
      </c>
      <c r="C51" s="1" t="s">
        <v>456</v>
      </c>
      <c r="D51" s="4">
        <v>2.0</v>
      </c>
      <c r="E51" s="1" t="s">
        <v>171</v>
      </c>
      <c r="F51" s="6">
        <v>46140.0</v>
      </c>
      <c r="G51" s="1" t="s">
        <v>462</v>
      </c>
      <c r="H51" s="1" t="s">
        <v>89</v>
      </c>
      <c r="I51" s="1" t="s">
        <v>280</v>
      </c>
    </row>
    <row r="52">
      <c r="B52" s="1" t="s">
        <v>465</v>
      </c>
      <c r="C52" s="1" t="s">
        <v>33</v>
      </c>
      <c r="D52" s="4">
        <v>50.0</v>
      </c>
      <c r="E52" s="1" t="s">
        <v>171</v>
      </c>
      <c r="F52" s="6">
        <v>46140.0</v>
      </c>
      <c r="G52" s="1" t="s">
        <v>472</v>
      </c>
      <c r="H52" s="1" t="s">
        <v>89</v>
      </c>
      <c r="I52" s="1" t="s">
        <v>280</v>
      </c>
    </row>
    <row r="53">
      <c r="B53" s="1" t="s">
        <v>474</v>
      </c>
      <c r="C53" s="1" t="s">
        <v>266</v>
      </c>
      <c r="D53" s="4">
        <v>160.0</v>
      </c>
      <c r="E53" s="1" t="s">
        <v>171</v>
      </c>
      <c r="F53" s="6">
        <v>46140.0</v>
      </c>
      <c r="G53" s="1" t="s">
        <v>477</v>
      </c>
      <c r="H53" s="1" t="s">
        <v>89</v>
      </c>
      <c r="I53" s="1" t="s">
        <v>280</v>
      </c>
    </row>
    <row r="54">
      <c r="B54" s="1" t="s">
        <v>474</v>
      </c>
      <c r="C54" s="1" t="s">
        <v>56</v>
      </c>
      <c r="D54" s="4">
        <v>200.0</v>
      </c>
      <c r="E54" s="1" t="s">
        <v>171</v>
      </c>
      <c r="F54" s="6">
        <v>46140.0</v>
      </c>
      <c r="G54" s="1" t="s">
        <v>477</v>
      </c>
      <c r="H54" s="1" t="s">
        <v>89</v>
      </c>
      <c r="I54" s="1" t="s">
        <v>280</v>
      </c>
    </row>
    <row r="55">
      <c r="B55" s="1" t="s">
        <v>478</v>
      </c>
      <c r="C55" s="1" t="s">
        <v>272</v>
      </c>
      <c r="D55" s="1">
        <v>14.0</v>
      </c>
      <c r="E55" s="1" t="s">
        <v>171</v>
      </c>
      <c r="F55" s="6">
        <v>46140.0</v>
      </c>
      <c r="G55" s="1" t="s">
        <v>483</v>
      </c>
      <c r="H55" s="1" t="s">
        <v>89</v>
      </c>
      <c r="I55" s="1" t="s">
        <v>280</v>
      </c>
    </row>
    <row r="56">
      <c r="B56" s="1" t="s">
        <v>478</v>
      </c>
      <c r="C56" s="1" t="s">
        <v>325</v>
      </c>
      <c r="D56" s="4">
        <v>400.0</v>
      </c>
      <c r="E56" s="1" t="s">
        <v>171</v>
      </c>
      <c r="F56" s="6">
        <v>46140.0</v>
      </c>
      <c r="G56" s="1" t="s">
        <v>483</v>
      </c>
      <c r="H56" s="1" t="s">
        <v>89</v>
      </c>
      <c r="I56" s="1" t="s">
        <v>280</v>
      </c>
    </row>
    <row r="57">
      <c r="B57" s="1" t="s">
        <v>478</v>
      </c>
      <c r="C57" s="1" t="s">
        <v>412</v>
      </c>
      <c r="D57" s="4">
        <v>80.0</v>
      </c>
      <c r="E57" s="1" t="s">
        <v>171</v>
      </c>
      <c r="F57" s="6">
        <v>46140.0</v>
      </c>
      <c r="G57" s="1" t="s">
        <v>483</v>
      </c>
      <c r="H57" s="1" t="s">
        <v>89</v>
      </c>
      <c r="I57" s="1" t="s">
        <v>280</v>
      </c>
    </row>
    <row r="58">
      <c r="B58" s="1" t="s">
        <v>478</v>
      </c>
      <c r="C58" s="1" t="s">
        <v>405</v>
      </c>
      <c r="D58" s="4">
        <v>75.0</v>
      </c>
      <c r="E58" s="1" t="s">
        <v>171</v>
      </c>
      <c r="F58" s="6">
        <v>46140.0</v>
      </c>
      <c r="G58" s="1" t="s">
        <v>483</v>
      </c>
      <c r="H58" s="1" t="s">
        <v>89</v>
      </c>
      <c r="I58" s="1" t="s">
        <v>280</v>
      </c>
    </row>
    <row r="59">
      <c r="B59" s="1" t="s">
        <v>478</v>
      </c>
      <c r="C59" s="1" t="s">
        <v>395</v>
      </c>
      <c r="D59" s="1">
        <v>300.0</v>
      </c>
      <c r="E59" s="1" t="s">
        <v>171</v>
      </c>
      <c r="F59" s="6">
        <v>46140.0</v>
      </c>
      <c r="G59" s="1" t="s">
        <v>483</v>
      </c>
      <c r="H59" s="1" t="s">
        <v>89</v>
      </c>
      <c r="I59" s="1" t="s">
        <v>280</v>
      </c>
    </row>
    <row r="60">
      <c r="B60" s="1" t="s">
        <v>478</v>
      </c>
      <c r="C60" s="1" t="s">
        <v>428</v>
      </c>
      <c r="D60" s="1">
        <v>40.0</v>
      </c>
      <c r="E60" s="1" t="s">
        <v>171</v>
      </c>
      <c r="F60" s="6">
        <v>46140.0</v>
      </c>
      <c r="G60" s="1" t="s">
        <v>483</v>
      </c>
      <c r="H60" s="1" t="s">
        <v>89</v>
      </c>
      <c r="I60" s="1" t="s">
        <v>280</v>
      </c>
    </row>
    <row r="61">
      <c r="B61" s="1" t="s">
        <v>478</v>
      </c>
      <c r="C61" s="1" t="s">
        <v>441</v>
      </c>
      <c r="D61" s="4">
        <v>30.0</v>
      </c>
      <c r="E61" s="1" t="s">
        <v>171</v>
      </c>
      <c r="F61" s="6">
        <v>46140.0</v>
      </c>
      <c r="G61" s="1" t="s">
        <v>483</v>
      </c>
      <c r="H61" s="1" t="s">
        <v>89</v>
      </c>
      <c r="I61" s="1" t="s">
        <v>280</v>
      </c>
    </row>
    <row r="62">
      <c r="B62" s="1" t="s">
        <v>490</v>
      </c>
      <c r="C62" s="1" t="s">
        <v>266</v>
      </c>
      <c r="D62" s="1">
        <v>40.0</v>
      </c>
      <c r="E62" s="1" t="s">
        <v>171</v>
      </c>
      <c r="F62" s="6">
        <v>46154.0</v>
      </c>
      <c r="G62" s="1" t="s">
        <v>493</v>
      </c>
      <c r="H62" s="1" t="s">
        <v>115</v>
      </c>
      <c r="I62" s="1" t="s">
        <v>280</v>
      </c>
    </row>
    <row r="63">
      <c r="B63" s="1" t="s">
        <v>490</v>
      </c>
      <c r="C63" s="1" t="s">
        <v>272</v>
      </c>
      <c r="D63" s="1">
        <v>65.0</v>
      </c>
      <c r="E63" s="1" t="s">
        <v>171</v>
      </c>
      <c r="F63" s="6">
        <v>46154.0</v>
      </c>
      <c r="G63" s="1" t="s">
        <v>493</v>
      </c>
      <c r="H63" s="1" t="s">
        <v>115</v>
      </c>
      <c r="I63" s="1" t="s">
        <v>280</v>
      </c>
    </row>
    <row r="64">
      <c r="B64" s="1" t="s">
        <v>490</v>
      </c>
      <c r="C64" s="1" t="s">
        <v>217</v>
      </c>
      <c r="D64" s="4">
        <v>50.0</v>
      </c>
      <c r="E64" s="1" t="s">
        <v>171</v>
      </c>
      <c r="F64" s="6">
        <v>46154.0</v>
      </c>
      <c r="G64" s="1" t="s">
        <v>493</v>
      </c>
      <c r="H64" s="1" t="s">
        <v>115</v>
      </c>
      <c r="I64" s="1" t="s">
        <v>280</v>
      </c>
    </row>
    <row r="65">
      <c r="B65" s="1" t="s">
        <v>486</v>
      </c>
      <c r="C65" s="1" t="s">
        <v>56</v>
      </c>
      <c r="D65" s="1">
        <v>349.0</v>
      </c>
      <c r="E65" s="1" t="s">
        <v>171</v>
      </c>
      <c r="F65" s="6">
        <v>46154.0</v>
      </c>
      <c r="G65" s="1" t="s">
        <v>489</v>
      </c>
      <c r="H65" s="1" t="s">
        <v>115</v>
      </c>
      <c r="I65" s="1" t="s">
        <v>280</v>
      </c>
    </row>
    <row r="66">
      <c r="B66" s="1" t="s">
        <v>486</v>
      </c>
      <c r="C66" s="1" t="s">
        <v>272</v>
      </c>
      <c r="D66" s="4">
        <v>25.0</v>
      </c>
      <c r="E66" s="1" t="s">
        <v>171</v>
      </c>
      <c r="F66" s="6">
        <v>46154.0</v>
      </c>
      <c r="G66" s="1" t="s">
        <v>489</v>
      </c>
      <c r="H66" s="1" t="s">
        <v>115</v>
      </c>
      <c r="I66" s="1" t="s">
        <v>280</v>
      </c>
    </row>
    <row r="67">
      <c r="B67" s="1" t="s">
        <v>486</v>
      </c>
      <c r="C67" s="1" t="s">
        <v>291</v>
      </c>
      <c r="D67" s="4">
        <v>21.0</v>
      </c>
      <c r="E67" s="1" t="s">
        <v>171</v>
      </c>
      <c r="F67" s="6">
        <v>46154.0</v>
      </c>
      <c r="G67" s="1" t="s">
        <v>489</v>
      </c>
      <c r="H67" s="1" t="s">
        <v>115</v>
      </c>
      <c r="I67" s="1" t="s">
        <v>280</v>
      </c>
    </row>
    <row r="68">
      <c r="B68" s="1" t="s">
        <v>486</v>
      </c>
      <c r="C68" s="1" t="s">
        <v>266</v>
      </c>
      <c r="D68" s="1">
        <v>100.0</v>
      </c>
      <c r="E68" s="1" t="s">
        <v>171</v>
      </c>
      <c r="F68" s="6">
        <v>46154.0</v>
      </c>
      <c r="G68" s="1" t="s">
        <v>489</v>
      </c>
      <c r="H68" s="1" t="s">
        <v>115</v>
      </c>
      <c r="I68" s="1" t="s">
        <v>280</v>
      </c>
    </row>
    <row r="69">
      <c r="B69" s="1" t="s">
        <v>505</v>
      </c>
      <c r="C69" s="1" t="s">
        <v>321</v>
      </c>
      <c r="D69" s="4">
        <v>20.0</v>
      </c>
      <c r="E69" s="1" t="s">
        <v>171</v>
      </c>
      <c r="F69" s="6">
        <v>46154.0</v>
      </c>
      <c r="G69" s="1" t="s">
        <v>510</v>
      </c>
      <c r="H69" s="1" t="s">
        <v>115</v>
      </c>
      <c r="I69" s="1" t="s">
        <v>280</v>
      </c>
    </row>
    <row r="70">
      <c r="B70" s="1" t="s">
        <v>497</v>
      </c>
      <c r="C70" s="1" t="s">
        <v>321</v>
      </c>
      <c r="D70" s="4">
        <v>10.0</v>
      </c>
      <c r="E70" s="1" t="s">
        <v>171</v>
      </c>
      <c r="F70" s="6">
        <v>46154.0</v>
      </c>
      <c r="G70" s="1" t="s">
        <v>503</v>
      </c>
      <c r="H70" s="1" t="s">
        <v>115</v>
      </c>
      <c r="I70" s="1" t="s">
        <v>280</v>
      </c>
    </row>
    <row r="71">
      <c r="B71" s="1" t="s">
        <v>512</v>
      </c>
      <c r="C71" s="1" t="s">
        <v>428</v>
      </c>
      <c r="D71" s="4">
        <v>100.0</v>
      </c>
      <c r="E71" s="1" t="s">
        <v>171</v>
      </c>
      <c r="F71" s="6">
        <v>46155.0</v>
      </c>
      <c r="G71" s="1" t="s">
        <v>517</v>
      </c>
      <c r="H71" s="1" t="s">
        <v>115</v>
      </c>
      <c r="I71" s="1" t="s">
        <v>280</v>
      </c>
    </row>
    <row r="72">
      <c r="B72" s="1" t="s">
        <v>512</v>
      </c>
      <c r="C72" s="1" t="s">
        <v>395</v>
      </c>
      <c r="D72" s="4">
        <v>200.0</v>
      </c>
      <c r="E72" s="1" t="s">
        <v>171</v>
      </c>
      <c r="F72" s="6">
        <v>46155.0</v>
      </c>
      <c r="G72" s="1" t="s">
        <v>517</v>
      </c>
      <c r="H72" s="1" t="s">
        <v>115</v>
      </c>
      <c r="I72" s="1" t="s">
        <v>280</v>
      </c>
    </row>
    <row r="73">
      <c r="B73" s="1" t="s">
        <v>512</v>
      </c>
      <c r="C73" s="1" t="s">
        <v>441</v>
      </c>
      <c r="D73" s="4">
        <v>100.0</v>
      </c>
      <c r="E73" s="1" t="s">
        <v>171</v>
      </c>
      <c r="F73" s="6">
        <v>46155.0</v>
      </c>
      <c r="G73" s="1" t="s">
        <v>517</v>
      </c>
      <c r="H73" s="1" t="s">
        <v>115</v>
      </c>
      <c r="I73" s="1" t="s">
        <v>280</v>
      </c>
    </row>
    <row r="74">
      <c r="B74" s="1" t="s">
        <v>525</v>
      </c>
      <c r="C74" s="1" t="s">
        <v>266</v>
      </c>
      <c r="D74" s="4">
        <v>110.0</v>
      </c>
      <c r="E74" s="1" t="s">
        <v>171</v>
      </c>
      <c r="F74" s="6">
        <v>46157.0</v>
      </c>
      <c r="G74" s="1" t="s">
        <v>832</v>
      </c>
      <c r="H74" s="1" t="s">
        <v>115</v>
      </c>
      <c r="I74" s="1" t="s">
        <v>280</v>
      </c>
      <c r="L74" s="1" t="s">
        <v>267</v>
      </c>
    </row>
    <row r="75">
      <c r="B75" s="1" t="s">
        <v>525</v>
      </c>
      <c r="C75" s="1" t="s">
        <v>272</v>
      </c>
      <c r="D75" s="4">
        <v>10.0</v>
      </c>
      <c r="E75" s="1" t="s">
        <v>171</v>
      </c>
      <c r="F75" s="6">
        <v>46157.0</v>
      </c>
      <c r="G75" s="1" t="s">
        <v>832</v>
      </c>
      <c r="H75" s="1" t="s">
        <v>115</v>
      </c>
      <c r="I75" s="1" t="s">
        <v>280</v>
      </c>
      <c r="L75" s="1" t="s">
        <v>273</v>
      </c>
    </row>
    <row r="76">
      <c r="B76" s="1" t="s">
        <v>525</v>
      </c>
      <c r="C76" s="1" t="s">
        <v>321</v>
      </c>
      <c r="D76" s="4">
        <v>20.0</v>
      </c>
      <c r="E76" s="1" t="s">
        <v>171</v>
      </c>
      <c r="F76" s="6">
        <v>46157.0</v>
      </c>
      <c r="G76" s="1" t="s">
        <v>832</v>
      </c>
      <c r="H76" s="1" t="s">
        <v>115</v>
      </c>
      <c r="I76" s="1" t="s">
        <v>280</v>
      </c>
      <c r="L76" s="1" t="s">
        <v>322</v>
      </c>
    </row>
    <row r="77">
      <c r="B77" s="1" t="s">
        <v>521</v>
      </c>
      <c r="C77" s="1" t="s">
        <v>291</v>
      </c>
      <c r="D77" s="1">
        <v>50.0</v>
      </c>
      <c r="E77" s="1" t="s">
        <v>171</v>
      </c>
      <c r="F77" s="6">
        <v>46157.0</v>
      </c>
      <c r="G77" s="1" t="s">
        <v>523</v>
      </c>
      <c r="H77" s="1" t="s">
        <v>115</v>
      </c>
      <c r="I77" s="1" t="s">
        <v>280</v>
      </c>
      <c r="L77" s="1" t="s">
        <v>292</v>
      </c>
    </row>
    <row r="78">
      <c r="B78" s="1" t="s">
        <v>530</v>
      </c>
      <c r="C78" s="1" t="s">
        <v>291</v>
      </c>
      <c r="D78" s="4">
        <v>50.0</v>
      </c>
      <c r="E78" s="1" t="s">
        <v>171</v>
      </c>
      <c r="F78" s="6">
        <v>46157.0</v>
      </c>
      <c r="G78" s="1" t="s">
        <v>834</v>
      </c>
      <c r="H78" s="1" t="s">
        <v>62</v>
      </c>
      <c r="I78" s="1" t="s">
        <v>835</v>
      </c>
      <c r="J78" s="1" t="s">
        <v>533</v>
      </c>
      <c r="L78" s="1" t="s">
        <v>292</v>
      </c>
    </row>
    <row r="79">
      <c r="B79" s="1" t="s">
        <v>530</v>
      </c>
      <c r="C79" s="1" t="s">
        <v>266</v>
      </c>
      <c r="D79" s="4">
        <v>50.0</v>
      </c>
      <c r="E79" s="1" t="s">
        <v>171</v>
      </c>
      <c r="F79" s="6">
        <v>46157.0</v>
      </c>
      <c r="G79" s="1" t="s">
        <v>834</v>
      </c>
      <c r="H79" s="1" t="s">
        <v>62</v>
      </c>
      <c r="I79" s="1" t="s">
        <v>835</v>
      </c>
      <c r="J79" s="1" t="s">
        <v>533</v>
      </c>
      <c r="L79" s="1" t="s">
        <v>267</v>
      </c>
    </row>
    <row r="80">
      <c r="B80" s="1" t="s">
        <v>535</v>
      </c>
      <c r="C80" s="1" t="s">
        <v>291</v>
      </c>
      <c r="D80" s="1">
        <v>55.0</v>
      </c>
      <c r="E80" s="1" t="s">
        <v>171</v>
      </c>
      <c r="F80" s="6">
        <v>46161.0</v>
      </c>
      <c r="G80" s="1" t="s">
        <v>837</v>
      </c>
      <c r="H80" s="1" t="s">
        <v>62</v>
      </c>
      <c r="I80" s="1" t="s">
        <v>835</v>
      </c>
      <c r="L80" s="1" t="s">
        <v>292</v>
      </c>
    </row>
    <row r="81">
      <c r="B81" s="1" t="s">
        <v>535</v>
      </c>
      <c r="C81" s="1" t="s">
        <v>266</v>
      </c>
      <c r="D81" s="4">
        <v>400.0</v>
      </c>
      <c r="E81" s="1" t="s">
        <v>171</v>
      </c>
      <c r="F81" s="6">
        <v>46161.0</v>
      </c>
      <c r="G81" s="1" t="s">
        <v>837</v>
      </c>
      <c r="H81" s="1" t="s">
        <v>62</v>
      </c>
      <c r="I81" s="1" t="s">
        <v>835</v>
      </c>
      <c r="L81" s="1" t="s">
        <v>267</v>
      </c>
    </row>
    <row r="82">
      <c r="B82" s="1" t="s">
        <v>535</v>
      </c>
      <c r="C82" s="1" t="s">
        <v>272</v>
      </c>
      <c r="D82" s="4">
        <v>25.0</v>
      </c>
      <c r="E82" s="1" t="s">
        <v>171</v>
      </c>
      <c r="F82" s="6">
        <v>46161.0</v>
      </c>
      <c r="G82" s="1" t="s">
        <v>837</v>
      </c>
      <c r="H82" s="1" t="s">
        <v>62</v>
      </c>
      <c r="I82" s="1" t="s">
        <v>835</v>
      </c>
      <c r="L82" s="1" t="s">
        <v>273</v>
      </c>
    </row>
    <row r="83">
      <c r="B83" s="1" t="s">
        <v>543</v>
      </c>
      <c r="C83" s="1" t="s">
        <v>360</v>
      </c>
      <c r="D83" s="4">
        <v>1.0</v>
      </c>
      <c r="E83" s="1" t="s">
        <v>171</v>
      </c>
      <c r="F83" s="6">
        <v>46164.0</v>
      </c>
      <c r="G83" s="1" t="s">
        <v>839</v>
      </c>
      <c r="H83" s="1" t="s">
        <v>62</v>
      </c>
      <c r="I83" s="1" t="s">
        <v>835</v>
      </c>
      <c r="J83" s="1" t="s">
        <v>547</v>
      </c>
      <c r="L83" s="1" t="s">
        <v>362</v>
      </c>
    </row>
    <row r="84">
      <c r="B84" s="1" t="s">
        <v>543</v>
      </c>
      <c r="C84" s="1" t="s">
        <v>262</v>
      </c>
      <c r="D84" s="4">
        <v>50.0</v>
      </c>
      <c r="E84" s="1" t="s">
        <v>171</v>
      </c>
      <c r="F84" s="6">
        <v>46164.0</v>
      </c>
      <c r="G84" s="1" t="s">
        <v>839</v>
      </c>
      <c r="H84" s="1" t="s">
        <v>62</v>
      </c>
      <c r="I84" s="1" t="s">
        <v>835</v>
      </c>
      <c r="J84" s="1" t="s">
        <v>547</v>
      </c>
      <c r="L84" s="1" t="s">
        <v>263</v>
      </c>
    </row>
    <row r="85">
      <c r="B85" s="1" t="s">
        <v>543</v>
      </c>
      <c r="C85" s="1" t="s">
        <v>395</v>
      </c>
      <c r="D85" s="4">
        <v>20.0</v>
      </c>
      <c r="E85" s="1" t="s">
        <v>171</v>
      </c>
      <c r="F85" s="6">
        <v>46164.0</v>
      </c>
      <c r="G85" s="1" t="s">
        <v>839</v>
      </c>
      <c r="H85" s="1" t="s">
        <v>62</v>
      </c>
      <c r="I85" s="1" t="s">
        <v>835</v>
      </c>
      <c r="J85" s="1" t="s">
        <v>547</v>
      </c>
      <c r="L85" s="1" t="s">
        <v>396</v>
      </c>
    </row>
    <row r="86">
      <c r="B86" s="1" t="s">
        <v>543</v>
      </c>
      <c r="C86" s="1" t="s">
        <v>266</v>
      </c>
      <c r="D86" s="4">
        <v>3.0</v>
      </c>
      <c r="E86" s="1" t="s">
        <v>171</v>
      </c>
      <c r="F86" s="6">
        <v>46164.0</v>
      </c>
      <c r="G86" s="1" t="s">
        <v>839</v>
      </c>
      <c r="H86" s="1" t="s">
        <v>62</v>
      </c>
      <c r="I86" s="1" t="s">
        <v>835</v>
      </c>
      <c r="J86" s="1" t="s">
        <v>547</v>
      </c>
      <c r="L86" s="1" t="s">
        <v>267</v>
      </c>
    </row>
    <row r="87">
      <c r="B87" s="1" t="s">
        <v>550</v>
      </c>
      <c r="C87" s="1" t="s">
        <v>163</v>
      </c>
      <c r="D87" s="4">
        <v>70.0</v>
      </c>
      <c r="E87" s="1" t="s">
        <v>171</v>
      </c>
      <c r="F87" s="6">
        <v>46164.0</v>
      </c>
      <c r="G87" s="1" t="s">
        <v>840</v>
      </c>
      <c r="H87" s="1" t="s">
        <v>62</v>
      </c>
      <c r="I87" s="1" t="s">
        <v>835</v>
      </c>
      <c r="J87" s="1" t="s">
        <v>556</v>
      </c>
      <c r="L87" s="1" t="s">
        <v>164</v>
      </c>
    </row>
    <row r="88">
      <c r="B88" s="1" t="s">
        <v>558</v>
      </c>
      <c r="C88" s="1" t="s">
        <v>272</v>
      </c>
      <c r="D88" s="4">
        <v>25.0</v>
      </c>
      <c r="E88" s="1" t="s">
        <v>171</v>
      </c>
      <c r="F88" s="6">
        <v>46170.0</v>
      </c>
      <c r="G88" s="1" t="s">
        <v>841</v>
      </c>
      <c r="H88" s="1" t="s">
        <v>62</v>
      </c>
      <c r="I88" s="1" t="s">
        <v>835</v>
      </c>
      <c r="L88" s="1" t="s">
        <v>273</v>
      </c>
    </row>
    <row r="89">
      <c r="B89" s="1" t="s">
        <v>558</v>
      </c>
      <c r="C89" s="1" t="s">
        <v>291</v>
      </c>
      <c r="D89" s="4">
        <v>50.0</v>
      </c>
      <c r="E89" s="1" t="s">
        <v>171</v>
      </c>
      <c r="F89" s="6">
        <v>46170.0</v>
      </c>
      <c r="G89" s="1" t="s">
        <v>841</v>
      </c>
      <c r="H89" s="1" t="s">
        <v>62</v>
      </c>
      <c r="I89" s="1" t="s">
        <v>835</v>
      </c>
      <c r="L89" s="1" t="s">
        <v>292</v>
      </c>
    </row>
    <row r="90">
      <c r="B90" s="1" t="s">
        <v>558</v>
      </c>
      <c r="C90" s="1" t="s">
        <v>428</v>
      </c>
      <c r="D90" s="4">
        <v>30.0</v>
      </c>
      <c r="E90" s="1" t="s">
        <v>171</v>
      </c>
      <c r="F90" s="6">
        <v>46170.0</v>
      </c>
      <c r="G90" s="1" t="s">
        <v>841</v>
      </c>
      <c r="H90" s="1" t="s">
        <v>62</v>
      </c>
      <c r="I90" s="1" t="s">
        <v>835</v>
      </c>
      <c r="L90" s="1" t="s">
        <v>429</v>
      </c>
    </row>
    <row r="91">
      <c r="B91" s="1" t="s">
        <v>558</v>
      </c>
      <c r="C91" s="1" t="s">
        <v>33</v>
      </c>
      <c r="D91" s="4">
        <v>1.0</v>
      </c>
      <c r="E91" s="1" t="s">
        <v>171</v>
      </c>
      <c r="F91" s="6">
        <v>46170.0</v>
      </c>
      <c r="G91" s="1" t="s">
        <v>841</v>
      </c>
      <c r="H91" s="1" t="s">
        <v>62</v>
      </c>
      <c r="I91" s="1" t="s">
        <v>835</v>
      </c>
      <c r="L91" s="1" t="s">
        <v>34</v>
      </c>
    </row>
    <row r="92">
      <c r="B92" s="1" t="s">
        <v>558</v>
      </c>
      <c r="C92" s="1" t="s">
        <v>405</v>
      </c>
      <c r="D92" s="4">
        <v>7.0</v>
      </c>
      <c r="E92" s="1" t="s">
        <v>171</v>
      </c>
      <c r="F92" s="6">
        <v>46170.0</v>
      </c>
      <c r="G92" s="1" t="s">
        <v>841</v>
      </c>
      <c r="H92" s="1" t="s">
        <v>62</v>
      </c>
      <c r="I92" s="1" t="s">
        <v>835</v>
      </c>
      <c r="L92" s="1" t="s">
        <v>455</v>
      </c>
    </row>
    <row r="93">
      <c r="B93" s="1" t="s">
        <v>562</v>
      </c>
      <c r="C93" s="1" t="s">
        <v>262</v>
      </c>
      <c r="D93" s="1">
        <v>135.0</v>
      </c>
      <c r="E93" s="1" t="s">
        <v>171</v>
      </c>
      <c r="F93" s="6">
        <v>46170.0</v>
      </c>
      <c r="G93" s="1" t="s">
        <v>844</v>
      </c>
      <c r="H93" s="1" t="s">
        <v>62</v>
      </c>
      <c r="I93" s="1" t="s">
        <v>835</v>
      </c>
      <c r="J93" s="1" t="s">
        <v>569</v>
      </c>
      <c r="L93" s="1" t="s">
        <v>263</v>
      </c>
    </row>
    <row r="94">
      <c r="B94" s="1" t="s">
        <v>571</v>
      </c>
      <c r="C94" s="1" t="s">
        <v>428</v>
      </c>
      <c r="D94" s="4">
        <v>10.0</v>
      </c>
      <c r="E94" s="1" t="s">
        <v>171</v>
      </c>
      <c r="F94" s="6">
        <v>46174.0</v>
      </c>
      <c r="G94" s="1" t="s">
        <v>845</v>
      </c>
      <c r="H94" s="1" t="s">
        <v>62</v>
      </c>
      <c r="I94" s="1" t="s">
        <v>835</v>
      </c>
      <c r="L94" s="1" t="s">
        <v>429</v>
      </c>
    </row>
    <row r="95">
      <c r="B95" s="1" t="s">
        <v>585</v>
      </c>
      <c r="C95" s="1" t="s">
        <v>331</v>
      </c>
      <c r="D95" s="4">
        <v>5.0</v>
      </c>
      <c r="E95" s="1" t="s">
        <v>171</v>
      </c>
      <c r="F95" s="6">
        <v>46174.0</v>
      </c>
      <c r="G95" s="1" t="s">
        <v>847</v>
      </c>
      <c r="H95" s="1" t="s">
        <v>62</v>
      </c>
      <c r="I95" s="1" t="s">
        <v>835</v>
      </c>
      <c r="L95" s="1" t="s">
        <v>332</v>
      </c>
    </row>
    <row r="96">
      <c r="B96" s="1" t="s">
        <v>589</v>
      </c>
      <c r="C96" s="1" t="s">
        <v>291</v>
      </c>
      <c r="D96" s="4">
        <v>19.0</v>
      </c>
      <c r="E96" s="1" t="s">
        <v>171</v>
      </c>
      <c r="F96" s="6">
        <v>46174.0</v>
      </c>
      <c r="G96" s="1" t="s">
        <v>849</v>
      </c>
      <c r="H96" s="1" t="s">
        <v>62</v>
      </c>
      <c r="I96" s="1" t="s">
        <v>835</v>
      </c>
      <c r="J96" s="1" t="s">
        <v>592</v>
      </c>
      <c r="L96" s="1" t="s">
        <v>292</v>
      </c>
    </row>
    <row r="97">
      <c r="B97" s="1" t="s">
        <v>589</v>
      </c>
      <c r="C97" s="1" t="s">
        <v>321</v>
      </c>
      <c r="D97" s="1">
        <v>40.0</v>
      </c>
      <c r="E97" s="1" t="s">
        <v>171</v>
      </c>
      <c r="F97" s="6">
        <v>46174.0</v>
      </c>
      <c r="G97" s="1" t="s">
        <v>849</v>
      </c>
      <c r="H97" s="1" t="s">
        <v>62</v>
      </c>
      <c r="I97" s="1" t="s">
        <v>835</v>
      </c>
      <c r="J97" s="1" t="s">
        <v>592</v>
      </c>
      <c r="L97" s="1" t="s">
        <v>322</v>
      </c>
    </row>
    <row r="98">
      <c r="B98" s="1" t="s">
        <v>589</v>
      </c>
      <c r="C98" s="1" t="s">
        <v>441</v>
      </c>
      <c r="D98" s="4">
        <v>70.0</v>
      </c>
      <c r="E98" s="1" t="s">
        <v>171</v>
      </c>
      <c r="F98" s="6">
        <v>46174.0</v>
      </c>
      <c r="G98" s="1" t="s">
        <v>849</v>
      </c>
      <c r="H98" s="1" t="s">
        <v>62</v>
      </c>
      <c r="I98" s="1" t="s">
        <v>835</v>
      </c>
      <c r="J98" s="1" t="s">
        <v>592</v>
      </c>
      <c r="L98" s="1" t="s">
        <v>445</v>
      </c>
    </row>
    <row r="99">
      <c r="B99" s="1" t="s">
        <v>589</v>
      </c>
      <c r="C99" s="1" t="s">
        <v>428</v>
      </c>
      <c r="D99" s="4">
        <v>9.0</v>
      </c>
      <c r="E99" s="1" t="s">
        <v>171</v>
      </c>
      <c r="F99" s="6">
        <v>46174.0</v>
      </c>
      <c r="G99" s="1" t="s">
        <v>849</v>
      </c>
      <c r="H99" s="1" t="s">
        <v>62</v>
      </c>
      <c r="I99" s="1" t="s">
        <v>835</v>
      </c>
      <c r="J99" s="1" t="s">
        <v>592</v>
      </c>
      <c r="L99" s="1" t="s">
        <v>429</v>
      </c>
    </row>
    <row r="100">
      <c r="B100" s="1" t="s">
        <v>589</v>
      </c>
      <c r="C100" s="1" t="s">
        <v>266</v>
      </c>
      <c r="D100" s="4">
        <v>104.0</v>
      </c>
      <c r="E100" s="1" t="s">
        <v>171</v>
      </c>
      <c r="F100" s="6">
        <v>46174.0</v>
      </c>
      <c r="G100" s="1" t="s">
        <v>849</v>
      </c>
      <c r="H100" s="1" t="s">
        <v>62</v>
      </c>
      <c r="I100" s="1" t="s">
        <v>835</v>
      </c>
      <c r="J100" s="1" t="s">
        <v>592</v>
      </c>
      <c r="L100" s="1" t="s">
        <v>267</v>
      </c>
    </row>
    <row r="101">
      <c r="B101" s="1" t="s">
        <v>589</v>
      </c>
      <c r="C101" s="1" t="s">
        <v>331</v>
      </c>
      <c r="D101" s="1">
        <v>40.0</v>
      </c>
      <c r="E101" s="1" t="s">
        <v>171</v>
      </c>
      <c r="F101" s="6">
        <v>46174.0</v>
      </c>
      <c r="G101" s="1" t="s">
        <v>849</v>
      </c>
      <c r="H101" s="1" t="s">
        <v>62</v>
      </c>
      <c r="I101" s="1" t="s">
        <v>835</v>
      </c>
      <c r="J101" s="1" t="s">
        <v>592</v>
      </c>
      <c r="L101" s="1" t="s">
        <v>332</v>
      </c>
    </row>
    <row r="102">
      <c r="B102" s="1" t="s">
        <v>594</v>
      </c>
      <c r="C102" s="1" t="s">
        <v>262</v>
      </c>
      <c r="D102" s="4">
        <v>20.0</v>
      </c>
      <c r="E102" s="1" t="s">
        <v>171</v>
      </c>
      <c r="F102" s="6">
        <v>46177.0</v>
      </c>
      <c r="G102" s="1" t="s">
        <v>850</v>
      </c>
      <c r="H102" s="1" t="s">
        <v>62</v>
      </c>
      <c r="I102" s="1" t="s">
        <v>835</v>
      </c>
      <c r="J102" s="1" t="s">
        <v>597</v>
      </c>
      <c r="L102" s="1" t="s">
        <v>263</v>
      </c>
    </row>
    <row r="103">
      <c r="B103" s="1" t="s">
        <v>594</v>
      </c>
      <c r="C103" s="1" t="s">
        <v>412</v>
      </c>
      <c r="D103" s="4">
        <v>15.0</v>
      </c>
      <c r="E103" s="1" t="s">
        <v>171</v>
      </c>
      <c r="F103" s="6">
        <v>46177.0</v>
      </c>
      <c r="G103" s="1" t="s">
        <v>850</v>
      </c>
      <c r="H103" s="1" t="s">
        <v>62</v>
      </c>
      <c r="I103" s="1" t="s">
        <v>835</v>
      </c>
      <c r="J103" s="1" t="s">
        <v>597</v>
      </c>
      <c r="L103" s="1" t="s">
        <v>413</v>
      </c>
    </row>
    <row r="104">
      <c r="B104" s="1" t="s">
        <v>594</v>
      </c>
      <c r="C104" s="1" t="s">
        <v>395</v>
      </c>
      <c r="D104" s="4">
        <v>50.0</v>
      </c>
      <c r="E104" s="1" t="s">
        <v>171</v>
      </c>
      <c r="F104" s="6">
        <v>46177.0</v>
      </c>
      <c r="G104" s="1" t="s">
        <v>850</v>
      </c>
      <c r="H104" s="1" t="s">
        <v>62</v>
      </c>
      <c r="I104" s="1" t="s">
        <v>835</v>
      </c>
      <c r="J104" s="1" t="s">
        <v>597</v>
      </c>
      <c r="L104" s="1" t="s">
        <v>396</v>
      </c>
    </row>
    <row r="105">
      <c r="B105" s="1" t="s">
        <v>594</v>
      </c>
      <c r="C105" s="1" t="s">
        <v>405</v>
      </c>
      <c r="D105" s="4">
        <v>15.0</v>
      </c>
      <c r="E105" s="1" t="s">
        <v>171</v>
      </c>
      <c r="F105" s="6">
        <v>46177.0</v>
      </c>
      <c r="G105" s="1" t="s">
        <v>850</v>
      </c>
      <c r="H105" s="1" t="s">
        <v>62</v>
      </c>
      <c r="I105" s="1" t="s">
        <v>835</v>
      </c>
      <c r="J105" s="1" t="s">
        <v>597</v>
      </c>
      <c r="L105" s="1" t="s">
        <v>455</v>
      </c>
    </row>
    <row r="106">
      <c r="B106" s="1" t="s">
        <v>594</v>
      </c>
      <c r="C106" s="1" t="s">
        <v>441</v>
      </c>
      <c r="D106" s="4">
        <v>25.0</v>
      </c>
      <c r="E106" s="1" t="s">
        <v>171</v>
      </c>
      <c r="F106" s="6">
        <v>46177.0</v>
      </c>
      <c r="G106" s="1" t="s">
        <v>850</v>
      </c>
      <c r="H106" s="1" t="s">
        <v>62</v>
      </c>
      <c r="I106" s="1" t="s">
        <v>835</v>
      </c>
      <c r="J106" s="1" t="s">
        <v>597</v>
      </c>
      <c r="L106" s="1" t="s">
        <v>445</v>
      </c>
    </row>
    <row r="107">
      <c r="B107" s="1" t="s">
        <v>577</v>
      </c>
      <c r="C107" s="1" t="s">
        <v>398</v>
      </c>
      <c r="D107" s="4">
        <v>1.0</v>
      </c>
      <c r="E107" s="1" t="s">
        <v>171</v>
      </c>
      <c r="F107" s="6">
        <v>46184.0</v>
      </c>
      <c r="G107" s="1" t="s">
        <v>852</v>
      </c>
      <c r="H107" s="1" t="s">
        <v>62</v>
      </c>
      <c r="I107" s="1" t="s">
        <v>835</v>
      </c>
      <c r="L107" s="1" t="s">
        <v>399</v>
      </c>
    </row>
    <row r="108">
      <c r="B108" s="1" t="s">
        <v>599</v>
      </c>
      <c r="C108" s="1" t="s">
        <v>321</v>
      </c>
      <c r="D108" s="4">
        <v>20.0</v>
      </c>
      <c r="E108" s="1" t="s">
        <v>171</v>
      </c>
      <c r="F108" s="6">
        <v>46184.0</v>
      </c>
      <c r="G108" s="1" t="s">
        <v>854</v>
      </c>
      <c r="H108" s="1" t="s">
        <v>62</v>
      </c>
      <c r="I108" s="1" t="s">
        <v>835</v>
      </c>
      <c r="L108" s="1" t="s">
        <v>322</v>
      </c>
    </row>
    <row r="109">
      <c r="B109" s="1" t="s">
        <v>599</v>
      </c>
      <c r="C109" s="1" t="s">
        <v>163</v>
      </c>
      <c r="D109" s="1">
        <v>144.0</v>
      </c>
      <c r="E109" s="1" t="s">
        <v>171</v>
      </c>
      <c r="F109" s="6">
        <v>46184.0</v>
      </c>
      <c r="G109" s="1" t="s">
        <v>854</v>
      </c>
      <c r="H109" s="1" t="s">
        <v>62</v>
      </c>
      <c r="I109" s="1" t="s">
        <v>835</v>
      </c>
      <c r="L109" s="1" t="s">
        <v>322</v>
      </c>
    </row>
    <row r="110">
      <c r="B110" s="1" t="s">
        <v>605</v>
      </c>
      <c r="C110" s="1" t="s">
        <v>163</v>
      </c>
      <c r="D110" s="4">
        <v>11.0</v>
      </c>
      <c r="E110" s="1" t="s">
        <v>171</v>
      </c>
      <c r="F110" s="6">
        <v>46184.0</v>
      </c>
      <c r="G110" s="1" t="s">
        <v>856</v>
      </c>
      <c r="H110" s="1" t="s">
        <v>62</v>
      </c>
      <c r="I110" s="1" t="s">
        <v>835</v>
      </c>
      <c r="L110" s="1" t="s">
        <v>164</v>
      </c>
    </row>
    <row r="111">
      <c r="B111" s="1" t="s">
        <v>605</v>
      </c>
      <c r="C111" s="1" t="s">
        <v>331</v>
      </c>
      <c r="D111" s="4">
        <v>10.0</v>
      </c>
      <c r="E111" s="1" t="s">
        <v>171</v>
      </c>
      <c r="F111" s="6">
        <v>46184.0</v>
      </c>
      <c r="G111" s="1" t="s">
        <v>856</v>
      </c>
      <c r="H111" s="1" t="s">
        <v>62</v>
      </c>
      <c r="I111" s="1" t="s">
        <v>835</v>
      </c>
      <c r="L111" s="1" t="s">
        <v>332</v>
      </c>
    </row>
    <row r="112">
      <c r="A112" s="1" t="s">
        <v>859</v>
      </c>
      <c r="B112" s="1" t="s">
        <v>860</v>
      </c>
      <c r="C112" s="1" t="s">
        <v>81</v>
      </c>
      <c r="D112" s="1">
        <v>200.0</v>
      </c>
      <c r="E112" s="1" t="s">
        <v>41</v>
      </c>
      <c r="F112" s="6">
        <v>46099.0</v>
      </c>
      <c r="G112" s="1" t="s">
        <v>861</v>
      </c>
      <c r="H112" s="1" t="s">
        <v>62</v>
      </c>
      <c r="J112" s="1" t="s">
        <v>862</v>
      </c>
    </row>
    <row r="113">
      <c r="A113" s="1" t="s">
        <v>863</v>
      </c>
      <c r="B113" s="1" t="s">
        <v>860</v>
      </c>
      <c r="C113" s="1" t="s">
        <v>272</v>
      </c>
      <c r="D113" s="1">
        <v>600.0</v>
      </c>
      <c r="E113" s="1" t="s">
        <v>41</v>
      </c>
      <c r="F113" s="6">
        <v>46105.0</v>
      </c>
      <c r="G113" s="1" t="s">
        <v>864</v>
      </c>
      <c r="H113" s="1" t="s">
        <v>62</v>
      </c>
      <c r="J113" s="1" t="s">
        <v>862</v>
      </c>
    </row>
    <row r="114">
      <c r="A114" s="1" t="s">
        <v>865</v>
      </c>
      <c r="B114" s="1" t="s">
        <v>860</v>
      </c>
      <c r="C114" s="1" t="s">
        <v>33</v>
      </c>
      <c r="D114" s="1">
        <v>50.0</v>
      </c>
      <c r="E114" s="1" t="s">
        <v>41</v>
      </c>
      <c r="F114" s="6">
        <v>46122.0</v>
      </c>
      <c r="G114" s="1" t="s">
        <v>866</v>
      </c>
      <c r="H114" s="1" t="s">
        <v>62</v>
      </c>
      <c r="J114" s="1" t="s">
        <v>862</v>
      </c>
    </row>
    <row r="115">
      <c r="A115" s="1" t="s">
        <v>867</v>
      </c>
      <c r="B115" s="1" t="s">
        <v>860</v>
      </c>
      <c r="C115" s="1" t="s">
        <v>33</v>
      </c>
      <c r="D115" s="1">
        <v>50.0</v>
      </c>
      <c r="E115" s="1" t="s">
        <v>41</v>
      </c>
      <c r="F115" s="6">
        <v>46139.0</v>
      </c>
      <c r="G115" s="1" t="s">
        <v>868</v>
      </c>
      <c r="H115" s="1" t="s">
        <v>62</v>
      </c>
      <c r="J115" s="1" t="s">
        <v>862</v>
      </c>
    </row>
    <row r="116">
      <c r="A116" s="1" t="s">
        <v>869</v>
      </c>
      <c r="B116" s="1" t="s">
        <v>860</v>
      </c>
      <c r="C116" s="1" t="s">
        <v>81</v>
      </c>
      <c r="D116" s="1">
        <v>200.0</v>
      </c>
      <c r="E116" s="1" t="s">
        <v>41</v>
      </c>
      <c r="F116" s="6">
        <v>46152.0</v>
      </c>
      <c r="G116" s="1" t="s">
        <v>870</v>
      </c>
      <c r="H116" s="1" t="s">
        <v>62</v>
      </c>
      <c r="J116" s="1" t="s">
        <v>862</v>
      </c>
    </row>
    <row r="117">
      <c r="B117" s="1" t="s">
        <v>624</v>
      </c>
      <c r="C117" s="1" t="s">
        <v>494</v>
      </c>
      <c r="D117" s="4">
        <v>70.0</v>
      </c>
      <c r="E117" s="1" t="s">
        <v>171</v>
      </c>
      <c r="F117" s="6">
        <v>46191.0</v>
      </c>
      <c r="G117" s="1" t="s">
        <v>871</v>
      </c>
      <c r="H117" s="1" t="s">
        <v>62</v>
      </c>
      <c r="I117" s="1" t="s">
        <v>835</v>
      </c>
      <c r="L117" s="1" t="s">
        <v>495</v>
      </c>
    </row>
    <row r="118">
      <c r="B118" s="1" t="s">
        <v>860</v>
      </c>
      <c r="C118" s="1" t="s">
        <v>56</v>
      </c>
      <c r="D118" s="4">
        <v>1500.0</v>
      </c>
      <c r="E118" s="1" t="s">
        <v>41</v>
      </c>
      <c r="F118" s="6">
        <v>46195.0</v>
      </c>
      <c r="J118" s="1" t="s">
        <v>872</v>
      </c>
      <c r="L118" s="1" t="s">
        <v>58</v>
      </c>
    </row>
    <row r="119">
      <c r="B119" s="1" t="s">
        <v>612</v>
      </c>
      <c r="C119" s="1" t="s">
        <v>494</v>
      </c>
      <c r="D119" s="4">
        <v>2.0</v>
      </c>
      <c r="E119" s="1" t="s">
        <v>171</v>
      </c>
      <c r="F119" s="6">
        <v>46195.0</v>
      </c>
      <c r="G119" s="1" t="s">
        <v>874</v>
      </c>
      <c r="H119" s="1" t="s">
        <v>62</v>
      </c>
      <c r="I119" s="1" t="s">
        <v>835</v>
      </c>
      <c r="L119" s="1" t="s">
        <v>495</v>
      </c>
    </row>
    <row r="120">
      <c r="B120" s="1" t="s">
        <v>617</v>
      </c>
      <c r="C120" s="1" t="s">
        <v>331</v>
      </c>
      <c r="D120" s="4">
        <v>5.0</v>
      </c>
      <c r="E120" s="1" t="s">
        <v>171</v>
      </c>
      <c r="F120" s="6">
        <v>46195.0</v>
      </c>
      <c r="G120" s="1" t="s">
        <v>875</v>
      </c>
      <c r="H120" s="1" t="s">
        <v>62</v>
      </c>
      <c r="I120" s="1" t="s">
        <v>835</v>
      </c>
      <c r="J120" s="1" t="s">
        <v>622</v>
      </c>
      <c r="L120" s="1" t="s">
        <v>332</v>
      </c>
    </row>
    <row r="121">
      <c r="B121" s="1" t="s">
        <v>617</v>
      </c>
      <c r="C121" s="1" t="s">
        <v>395</v>
      </c>
      <c r="D121" s="4">
        <v>100.0</v>
      </c>
      <c r="E121" s="1" t="s">
        <v>171</v>
      </c>
      <c r="F121" s="6">
        <v>46195.0</v>
      </c>
      <c r="G121" s="1" t="s">
        <v>875</v>
      </c>
      <c r="H121" s="1" t="s">
        <v>62</v>
      </c>
      <c r="I121" s="1" t="s">
        <v>835</v>
      </c>
      <c r="J121" s="1" t="s">
        <v>622</v>
      </c>
      <c r="L121" s="1" t="s">
        <v>396</v>
      </c>
    </row>
    <row r="122">
      <c r="B122" s="1" t="s">
        <v>629</v>
      </c>
      <c r="C122" s="1" t="s">
        <v>494</v>
      </c>
      <c r="D122" s="4">
        <v>28.0</v>
      </c>
      <c r="E122" s="1" t="s">
        <v>171</v>
      </c>
      <c r="F122" s="6">
        <v>46195.0</v>
      </c>
      <c r="G122" s="1" t="s">
        <v>876</v>
      </c>
      <c r="H122" s="1" t="s">
        <v>62</v>
      </c>
      <c r="I122" s="1" t="s">
        <v>835</v>
      </c>
      <c r="J122" s="1" t="s">
        <v>634</v>
      </c>
      <c r="L122" s="1" t="s">
        <v>495</v>
      </c>
    </row>
    <row r="123">
      <c r="B123" s="1" t="s">
        <v>636</v>
      </c>
      <c r="C123" s="1" t="s">
        <v>56</v>
      </c>
      <c r="D123" s="4">
        <v>1500.0</v>
      </c>
      <c r="E123" s="1" t="s">
        <v>171</v>
      </c>
      <c r="F123" s="6">
        <v>46196.0</v>
      </c>
      <c r="G123" s="1" t="s">
        <v>877</v>
      </c>
      <c r="H123" s="1" t="s">
        <v>62</v>
      </c>
      <c r="I123" s="1" t="s">
        <v>835</v>
      </c>
      <c r="J123" s="1" t="s">
        <v>639</v>
      </c>
      <c r="L123" s="1" t="s">
        <v>58</v>
      </c>
    </row>
    <row r="124">
      <c r="B124" s="1" t="s">
        <v>636</v>
      </c>
      <c r="C124" s="1" t="s">
        <v>81</v>
      </c>
      <c r="D124" s="4">
        <v>200.0</v>
      </c>
      <c r="E124" s="1" t="s">
        <v>171</v>
      </c>
      <c r="F124" s="6">
        <v>46196.0</v>
      </c>
      <c r="G124" s="1" t="s">
        <v>877</v>
      </c>
      <c r="H124" s="1" t="s">
        <v>62</v>
      </c>
      <c r="I124" s="1" t="s">
        <v>835</v>
      </c>
      <c r="J124" s="1" t="s">
        <v>639</v>
      </c>
      <c r="L124" s="1" t="s">
        <v>83</v>
      </c>
    </row>
    <row r="125">
      <c r="B125" s="1" t="s">
        <v>636</v>
      </c>
      <c r="C125" s="1" t="s">
        <v>92</v>
      </c>
      <c r="D125" s="4">
        <v>300.0</v>
      </c>
      <c r="E125" s="1" t="s">
        <v>171</v>
      </c>
      <c r="F125" s="6">
        <v>46196.0</v>
      </c>
      <c r="G125" s="1" t="s">
        <v>877</v>
      </c>
      <c r="H125" s="1" t="s">
        <v>62</v>
      </c>
      <c r="I125" s="1" t="s">
        <v>835</v>
      </c>
      <c r="J125" s="1" t="s">
        <v>639</v>
      </c>
      <c r="L125" s="1" t="s">
        <v>94</v>
      </c>
    </row>
    <row r="126">
      <c r="B126" s="1" t="s">
        <v>636</v>
      </c>
      <c r="C126" s="1" t="s">
        <v>70</v>
      </c>
      <c r="D126" s="4">
        <v>500.0</v>
      </c>
      <c r="E126" s="1" t="s">
        <v>171</v>
      </c>
      <c r="F126" s="6">
        <v>46196.0</v>
      </c>
      <c r="G126" s="1" t="s">
        <v>877</v>
      </c>
      <c r="H126" s="1" t="s">
        <v>62</v>
      </c>
      <c r="I126" s="1" t="s">
        <v>835</v>
      </c>
      <c r="J126" s="1" t="s">
        <v>639</v>
      </c>
      <c r="L126" s="1" t="s">
        <v>72</v>
      </c>
    </row>
    <row r="127">
      <c r="B127" s="1" t="s">
        <v>577</v>
      </c>
      <c r="C127" s="1" t="s">
        <v>398</v>
      </c>
      <c r="D127" s="4">
        <v>1.0</v>
      </c>
      <c r="E127" s="1" t="s">
        <v>41</v>
      </c>
      <c r="F127" s="6">
        <v>46196.0</v>
      </c>
      <c r="G127" s="1" t="s">
        <v>878</v>
      </c>
      <c r="H127" s="1" t="s">
        <v>62</v>
      </c>
      <c r="I127" s="1" t="s">
        <v>583</v>
      </c>
      <c r="J127" s="1" t="s">
        <v>584</v>
      </c>
      <c r="K127" s="4">
        <v>0.0</v>
      </c>
      <c r="L127" s="1" t="s">
        <v>399</v>
      </c>
    </row>
    <row r="128">
      <c r="B128" s="1" t="s">
        <v>577</v>
      </c>
      <c r="C128" s="1" t="s">
        <v>398</v>
      </c>
      <c r="D128" s="4">
        <v>1.0</v>
      </c>
      <c r="E128" s="1" t="s">
        <v>41</v>
      </c>
      <c r="F128" s="6">
        <v>46196.0</v>
      </c>
      <c r="G128" s="1" t="s">
        <v>582</v>
      </c>
      <c r="H128" s="1" t="s">
        <v>62</v>
      </c>
      <c r="I128" s="1" t="s">
        <v>583</v>
      </c>
      <c r="J128" s="1" t="s">
        <v>584</v>
      </c>
      <c r="K128" s="4">
        <v>0.0</v>
      </c>
      <c r="L128" s="1" t="s">
        <v>399</v>
      </c>
    </row>
    <row r="129">
      <c r="B129" s="1" t="s">
        <v>860</v>
      </c>
      <c r="C129" s="1" t="s">
        <v>33</v>
      </c>
      <c r="D129" s="4">
        <v>100.0</v>
      </c>
      <c r="E129" s="1" t="s">
        <v>41</v>
      </c>
      <c r="F129" s="6">
        <v>46198.0</v>
      </c>
      <c r="J129" s="1" t="s">
        <v>879</v>
      </c>
      <c r="L129" s="1" t="s">
        <v>34</v>
      </c>
    </row>
    <row r="130">
      <c r="B130" s="1" t="s">
        <v>641</v>
      </c>
      <c r="C130" s="1" t="s">
        <v>331</v>
      </c>
      <c r="D130" s="4">
        <v>3.0</v>
      </c>
      <c r="E130" s="1" t="s">
        <v>171</v>
      </c>
      <c r="F130" s="6">
        <v>46202.0</v>
      </c>
      <c r="G130" s="1" t="s">
        <v>880</v>
      </c>
      <c r="H130" s="1" t="s">
        <v>62</v>
      </c>
      <c r="I130" s="1" t="s">
        <v>835</v>
      </c>
      <c r="L130" s="1" t="s">
        <v>332</v>
      </c>
    </row>
    <row r="131">
      <c r="B131" s="1" t="s">
        <v>645</v>
      </c>
      <c r="C131" s="1" t="s">
        <v>321</v>
      </c>
      <c r="D131" s="4">
        <v>50.0</v>
      </c>
      <c r="E131" s="1" t="s">
        <v>171</v>
      </c>
      <c r="F131" s="6">
        <v>46203.0</v>
      </c>
      <c r="G131" s="1" t="s">
        <v>883</v>
      </c>
      <c r="H131" s="1" t="s">
        <v>62</v>
      </c>
      <c r="I131" s="1" t="s">
        <v>835</v>
      </c>
      <c r="L131" s="1" t="s">
        <v>322</v>
      </c>
    </row>
    <row r="132">
      <c r="B132" s="1" t="s">
        <v>649</v>
      </c>
      <c r="C132" s="1" t="s">
        <v>428</v>
      </c>
      <c r="D132" s="4">
        <v>10.0</v>
      </c>
      <c r="E132" s="1" t="s">
        <v>171</v>
      </c>
      <c r="F132" s="6">
        <v>46209.0</v>
      </c>
      <c r="G132" s="1" t="s">
        <v>884</v>
      </c>
      <c r="H132" s="1" t="s">
        <v>62</v>
      </c>
      <c r="I132" s="1" t="s">
        <v>835</v>
      </c>
      <c r="L132" s="1" t="s">
        <v>429</v>
      </c>
    </row>
    <row r="133">
      <c r="B133" s="1" t="s">
        <v>649</v>
      </c>
      <c r="C133" s="1" t="s">
        <v>441</v>
      </c>
      <c r="D133" s="4">
        <v>20.0</v>
      </c>
      <c r="E133" s="1" t="s">
        <v>171</v>
      </c>
      <c r="F133" s="6">
        <v>46209.0</v>
      </c>
      <c r="G133" s="1" t="s">
        <v>884</v>
      </c>
      <c r="H133" s="1" t="s">
        <v>62</v>
      </c>
      <c r="I133" s="1" t="s">
        <v>835</v>
      </c>
      <c r="L133" s="1" t="s">
        <v>445</v>
      </c>
    </row>
    <row r="134">
      <c r="B134" s="1" t="s">
        <v>649</v>
      </c>
      <c r="C134" s="1" t="s">
        <v>321</v>
      </c>
      <c r="D134" s="4">
        <v>10.0</v>
      </c>
      <c r="E134" s="1" t="s">
        <v>171</v>
      </c>
      <c r="F134" s="6">
        <v>46209.0</v>
      </c>
      <c r="G134" s="1" t="s">
        <v>884</v>
      </c>
      <c r="H134" s="1" t="s">
        <v>62</v>
      </c>
      <c r="I134" s="1" t="s">
        <v>835</v>
      </c>
      <c r="L134" s="1" t="s">
        <v>322</v>
      </c>
    </row>
    <row r="135">
      <c r="B135" s="1" t="s">
        <v>654</v>
      </c>
      <c r="C135" s="1" t="s">
        <v>266</v>
      </c>
      <c r="D135" s="4">
        <v>15.0</v>
      </c>
      <c r="E135" s="1" t="s">
        <v>171</v>
      </c>
      <c r="F135" s="6">
        <v>46210.0</v>
      </c>
      <c r="G135" s="1" t="s">
        <v>888</v>
      </c>
      <c r="H135" s="1" t="s">
        <v>62</v>
      </c>
      <c r="I135" s="1" t="s">
        <v>835</v>
      </c>
      <c r="L135" s="1" t="s">
        <v>267</v>
      </c>
    </row>
    <row r="136">
      <c r="B136" s="1" t="s">
        <v>654</v>
      </c>
      <c r="C136" s="1" t="s">
        <v>441</v>
      </c>
      <c r="D136" s="4">
        <v>40.0</v>
      </c>
      <c r="E136" s="1" t="s">
        <v>171</v>
      </c>
      <c r="F136" s="6">
        <v>46210.0</v>
      </c>
      <c r="G136" s="1" t="s">
        <v>888</v>
      </c>
      <c r="H136" s="1" t="s">
        <v>62</v>
      </c>
      <c r="I136" s="1" t="s">
        <v>835</v>
      </c>
      <c r="L136" s="1" t="s">
        <v>445</v>
      </c>
    </row>
    <row r="137">
      <c r="B137" s="1" t="s">
        <v>654</v>
      </c>
      <c r="C137" s="1" t="s">
        <v>395</v>
      </c>
      <c r="D137" s="4">
        <v>200.0</v>
      </c>
      <c r="E137" s="1" t="s">
        <v>171</v>
      </c>
      <c r="F137" s="6">
        <v>46210.0</v>
      </c>
      <c r="G137" s="1" t="s">
        <v>888</v>
      </c>
      <c r="H137" s="1" t="s">
        <v>62</v>
      </c>
      <c r="I137" s="1" t="s">
        <v>835</v>
      </c>
      <c r="L137" s="1" t="s">
        <v>396</v>
      </c>
    </row>
    <row r="138">
      <c r="B138" s="1" t="s">
        <v>654</v>
      </c>
      <c r="C138" s="1" t="s">
        <v>405</v>
      </c>
      <c r="D138" s="4">
        <v>25.0</v>
      </c>
      <c r="E138" s="1" t="s">
        <v>171</v>
      </c>
      <c r="F138" s="6">
        <v>46210.0</v>
      </c>
      <c r="G138" s="1" t="s">
        <v>888</v>
      </c>
      <c r="H138" s="1" t="s">
        <v>62</v>
      </c>
      <c r="I138" s="1" t="s">
        <v>835</v>
      </c>
      <c r="L138" s="1" t="s">
        <v>455</v>
      </c>
    </row>
    <row r="139">
      <c r="B139" s="1" t="s">
        <v>654</v>
      </c>
      <c r="C139" s="1" t="s">
        <v>428</v>
      </c>
      <c r="D139" s="4">
        <v>20.0</v>
      </c>
      <c r="E139" s="1" t="s">
        <v>171</v>
      </c>
      <c r="F139" s="6">
        <v>46210.0</v>
      </c>
      <c r="G139" s="1" t="s">
        <v>888</v>
      </c>
      <c r="H139" s="1" t="s">
        <v>62</v>
      </c>
      <c r="I139" s="1" t="s">
        <v>835</v>
      </c>
      <c r="L139" s="1" t="s">
        <v>429</v>
      </c>
    </row>
    <row r="140">
      <c r="B140" s="1" t="s">
        <v>654</v>
      </c>
      <c r="C140" s="1" t="s">
        <v>412</v>
      </c>
      <c r="D140" s="4">
        <v>20.0</v>
      </c>
      <c r="E140" s="1" t="s">
        <v>171</v>
      </c>
      <c r="F140" s="6">
        <v>46210.0</v>
      </c>
      <c r="G140" s="1" t="s">
        <v>888</v>
      </c>
      <c r="H140" s="1" t="s">
        <v>62</v>
      </c>
      <c r="I140" s="1" t="s">
        <v>835</v>
      </c>
      <c r="L140" s="1" t="s">
        <v>413</v>
      </c>
    </row>
    <row r="141">
      <c r="B141" s="1" t="s">
        <v>654</v>
      </c>
      <c r="C141" s="1" t="s">
        <v>163</v>
      </c>
      <c r="D141" s="4">
        <v>50.0</v>
      </c>
      <c r="E141" s="1" t="s">
        <v>171</v>
      </c>
      <c r="F141" s="6">
        <v>46210.0</v>
      </c>
      <c r="G141" s="1" t="s">
        <v>888</v>
      </c>
      <c r="H141" s="1" t="s">
        <v>62</v>
      </c>
      <c r="I141" s="1" t="s">
        <v>835</v>
      </c>
      <c r="L141" s="1" t="s">
        <v>164</v>
      </c>
    </row>
    <row r="142">
      <c r="B142" s="1" t="s">
        <v>658</v>
      </c>
      <c r="C142" s="1" t="s">
        <v>331</v>
      </c>
      <c r="D142" s="4">
        <v>2.0</v>
      </c>
      <c r="E142" s="1" t="s">
        <v>171</v>
      </c>
      <c r="F142" s="6">
        <v>46241.0</v>
      </c>
      <c r="G142" s="1" t="s">
        <v>892</v>
      </c>
      <c r="H142" s="1" t="s">
        <v>62</v>
      </c>
      <c r="I142" s="1" t="s">
        <v>835</v>
      </c>
      <c r="L142" s="1" t="s">
        <v>332</v>
      </c>
    </row>
    <row r="143">
      <c r="B143" s="1" t="s">
        <v>662</v>
      </c>
      <c r="C143" s="1" t="s">
        <v>266</v>
      </c>
      <c r="D143" s="4">
        <v>50.0</v>
      </c>
      <c r="E143" s="1" t="s">
        <v>171</v>
      </c>
      <c r="F143" s="6">
        <v>46213.0</v>
      </c>
      <c r="G143" s="1" t="s">
        <v>893</v>
      </c>
      <c r="H143" s="1" t="s">
        <v>62</v>
      </c>
      <c r="I143" s="1" t="s">
        <v>835</v>
      </c>
      <c r="L143" s="1" t="s">
        <v>267</v>
      </c>
    </row>
    <row r="144">
      <c r="B144" s="1" t="s">
        <v>672</v>
      </c>
      <c r="C144" s="1" t="s">
        <v>163</v>
      </c>
      <c r="D144" s="4">
        <v>50.0</v>
      </c>
      <c r="E144" s="1" t="s">
        <v>171</v>
      </c>
      <c r="F144" s="6">
        <v>46219.0</v>
      </c>
      <c r="G144" s="1" t="s">
        <v>894</v>
      </c>
      <c r="H144" s="1" t="s">
        <v>62</v>
      </c>
      <c r="I144" s="1" t="s">
        <v>835</v>
      </c>
      <c r="L144" s="1" t="s">
        <v>164</v>
      </c>
    </row>
    <row r="145">
      <c r="B145" s="1" t="s">
        <v>666</v>
      </c>
      <c r="C145" s="1" t="s">
        <v>163</v>
      </c>
      <c r="D145" s="4">
        <v>50.0</v>
      </c>
      <c r="E145" s="1" t="s">
        <v>171</v>
      </c>
      <c r="F145" s="6">
        <v>46219.0</v>
      </c>
      <c r="G145" s="1" t="s">
        <v>895</v>
      </c>
      <c r="H145" s="1" t="s">
        <v>62</v>
      </c>
      <c r="I145" s="1" t="s">
        <v>835</v>
      </c>
      <c r="L145" s="1" t="s">
        <v>164</v>
      </c>
    </row>
    <row r="146">
      <c r="B146" s="1" t="s">
        <v>31</v>
      </c>
      <c r="C146" s="1" t="s">
        <v>518</v>
      </c>
      <c r="D146" s="4">
        <v>3000.0</v>
      </c>
      <c r="E146" s="1" t="s">
        <v>41</v>
      </c>
      <c r="F146" s="6">
        <v>46227.0</v>
      </c>
      <c r="G146" s="1" t="s">
        <v>896</v>
      </c>
      <c r="H146" s="1" t="s">
        <v>62</v>
      </c>
      <c r="I146" s="1" t="s">
        <v>897</v>
      </c>
      <c r="J146" s="1" t="s">
        <v>52</v>
      </c>
      <c r="L146" s="1" t="s">
        <v>519</v>
      </c>
    </row>
    <row r="147">
      <c r="B147" s="1" t="s">
        <v>31</v>
      </c>
      <c r="C147" s="1" t="s">
        <v>186</v>
      </c>
      <c r="D147" s="4">
        <v>5000.0</v>
      </c>
      <c r="E147" s="1" t="s">
        <v>41</v>
      </c>
      <c r="F147" s="6">
        <v>46225.0</v>
      </c>
      <c r="G147" s="1" t="s">
        <v>898</v>
      </c>
      <c r="H147" s="1" t="s">
        <v>62</v>
      </c>
      <c r="I147" s="1" t="s">
        <v>897</v>
      </c>
      <c r="J147" s="1" t="s">
        <v>52</v>
      </c>
      <c r="L147" s="1" t="s">
        <v>187</v>
      </c>
    </row>
    <row r="148">
      <c r="B148" s="1" t="s">
        <v>676</v>
      </c>
      <c r="C148" s="1" t="s">
        <v>412</v>
      </c>
      <c r="D148" s="4">
        <v>30.0</v>
      </c>
      <c r="E148" s="1" t="s">
        <v>171</v>
      </c>
      <c r="F148" s="6">
        <v>46231.0</v>
      </c>
      <c r="G148" s="1" t="s">
        <v>899</v>
      </c>
      <c r="H148" s="1" t="s">
        <v>62</v>
      </c>
      <c r="I148" s="1" t="s">
        <v>835</v>
      </c>
      <c r="J148" s="1" t="s">
        <v>679</v>
      </c>
      <c r="L148" s="1" t="s">
        <v>413</v>
      </c>
    </row>
    <row r="149">
      <c r="B149" s="1" t="s">
        <v>676</v>
      </c>
      <c r="C149" s="1" t="s">
        <v>405</v>
      </c>
      <c r="D149" s="4">
        <v>50.0</v>
      </c>
      <c r="E149" s="1" t="s">
        <v>171</v>
      </c>
      <c r="F149" s="6">
        <v>46231.0</v>
      </c>
      <c r="G149" s="1" t="s">
        <v>899</v>
      </c>
      <c r="H149" s="1" t="s">
        <v>62</v>
      </c>
      <c r="I149" s="1" t="s">
        <v>835</v>
      </c>
      <c r="J149" s="1" t="s">
        <v>679</v>
      </c>
      <c r="L149" s="1" t="s">
        <v>455</v>
      </c>
    </row>
    <row r="150">
      <c r="B150" s="1" t="s">
        <v>676</v>
      </c>
      <c r="C150" s="1" t="s">
        <v>441</v>
      </c>
      <c r="D150" s="4">
        <v>50.0</v>
      </c>
      <c r="E150" s="1" t="s">
        <v>171</v>
      </c>
      <c r="F150" s="6">
        <v>46231.0</v>
      </c>
      <c r="G150" s="1" t="s">
        <v>899</v>
      </c>
      <c r="H150" s="1" t="s">
        <v>62</v>
      </c>
      <c r="I150" s="1" t="s">
        <v>835</v>
      </c>
      <c r="J150" s="1" t="s">
        <v>679</v>
      </c>
      <c r="L150" s="1" t="s">
        <v>445</v>
      </c>
    </row>
    <row r="151">
      <c r="B151" s="1" t="s">
        <v>676</v>
      </c>
      <c r="C151" s="1" t="s">
        <v>428</v>
      </c>
      <c r="D151" s="4">
        <v>40.0</v>
      </c>
      <c r="E151" s="1" t="s">
        <v>171</v>
      </c>
      <c r="F151" s="6">
        <v>46231.0</v>
      </c>
      <c r="G151" s="1" t="s">
        <v>899</v>
      </c>
      <c r="H151" s="1" t="s">
        <v>62</v>
      </c>
      <c r="I151" s="1" t="s">
        <v>835</v>
      </c>
      <c r="J151" s="1" t="s">
        <v>679</v>
      </c>
      <c r="L151" s="1" t="s">
        <v>429</v>
      </c>
    </row>
    <row r="152">
      <c r="B152" s="1" t="s">
        <v>682</v>
      </c>
      <c r="C152" s="1" t="s">
        <v>405</v>
      </c>
      <c r="D152" s="4">
        <v>10.0</v>
      </c>
      <c r="E152" s="1" t="s">
        <v>171</v>
      </c>
      <c r="F152" s="6">
        <v>46233.0</v>
      </c>
      <c r="G152" s="1" t="s">
        <v>903</v>
      </c>
      <c r="H152" s="1" t="s">
        <v>62</v>
      </c>
      <c r="I152" s="1" t="s">
        <v>835</v>
      </c>
      <c r="L152" s="1" t="s">
        <v>455</v>
      </c>
    </row>
    <row r="153">
      <c r="B153" s="1" t="s">
        <v>682</v>
      </c>
      <c r="C153" s="1" t="s">
        <v>428</v>
      </c>
      <c r="D153" s="4">
        <v>3.0</v>
      </c>
      <c r="E153" s="1" t="s">
        <v>171</v>
      </c>
      <c r="F153" s="6">
        <v>46233.0</v>
      </c>
      <c r="G153" s="1" t="s">
        <v>903</v>
      </c>
      <c r="H153" s="1" t="s">
        <v>62</v>
      </c>
      <c r="I153" s="1" t="s">
        <v>835</v>
      </c>
      <c r="L153" s="1" t="s">
        <v>429</v>
      </c>
    </row>
    <row r="154">
      <c r="B154" s="1" t="s">
        <v>682</v>
      </c>
      <c r="C154" s="1" t="s">
        <v>262</v>
      </c>
      <c r="D154" s="4">
        <v>50.0</v>
      </c>
      <c r="E154" s="1" t="s">
        <v>171</v>
      </c>
      <c r="F154" s="6">
        <v>46233.0</v>
      </c>
      <c r="G154" s="1" t="s">
        <v>903</v>
      </c>
      <c r="H154" s="1" t="s">
        <v>62</v>
      </c>
      <c r="I154" s="1" t="s">
        <v>835</v>
      </c>
      <c r="L154" s="1" t="s">
        <v>263</v>
      </c>
    </row>
    <row r="155">
      <c r="B155" s="1" t="s">
        <v>693</v>
      </c>
      <c r="C155" s="1" t="s">
        <v>266</v>
      </c>
      <c r="D155" s="4">
        <v>40.0</v>
      </c>
      <c r="E155" s="1" t="s">
        <v>171</v>
      </c>
      <c r="F155" s="6">
        <v>46238.0</v>
      </c>
      <c r="G155" s="1" t="s">
        <v>906</v>
      </c>
      <c r="H155" s="1" t="s">
        <v>62</v>
      </c>
      <c r="I155" s="1" t="s">
        <v>835</v>
      </c>
      <c r="L155" s="1" t="s">
        <v>267</v>
      </c>
    </row>
    <row r="156">
      <c r="B156" s="1" t="s">
        <v>697</v>
      </c>
      <c r="C156" s="1" t="s">
        <v>325</v>
      </c>
      <c r="D156" s="4">
        <v>1000.0</v>
      </c>
      <c r="E156" s="1" t="s">
        <v>171</v>
      </c>
      <c r="F156" s="6">
        <v>46240.0</v>
      </c>
      <c r="G156" s="1" t="s">
        <v>909</v>
      </c>
      <c r="H156" s="1" t="s">
        <v>62</v>
      </c>
      <c r="I156" s="1" t="s">
        <v>835</v>
      </c>
      <c r="L156" s="1" t="s">
        <v>326</v>
      </c>
    </row>
    <row r="157">
      <c r="B157" s="1" t="s">
        <v>697</v>
      </c>
      <c r="C157" s="1" t="s">
        <v>395</v>
      </c>
      <c r="D157" s="4">
        <v>200.0</v>
      </c>
      <c r="E157" s="1" t="s">
        <v>171</v>
      </c>
      <c r="F157" s="6">
        <v>46240.0</v>
      </c>
      <c r="G157" s="1" t="s">
        <v>909</v>
      </c>
      <c r="H157" s="1" t="s">
        <v>62</v>
      </c>
      <c r="I157" s="1" t="s">
        <v>835</v>
      </c>
      <c r="L157" s="1" t="s">
        <v>396</v>
      </c>
    </row>
    <row r="158">
      <c r="B158" s="1" t="s">
        <v>704</v>
      </c>
      <c r="C158" s="1" t="s">
        <v>186</v>
      </c>
      <c r="D158" s="4">
        <v>1.0</v>
      </c>
      <c r="E158" s="1" t="s">
        <v>171</v>
      </c>
      <c r="F158" s="6">
        <v>46240.0</v>
      </c>
      <c r="G158" s="1" t="s">
        <v>913</v>
      </c>
      <c r="H158" s="1" t="s">
        <v>62</v>
      </c>
      <c r="I158" s="1" t="s">
        <v>835</v>
      </c>
      <c r="J158" s="1" t="s">
        <v>709</v>
      </c>
      <c r="L158" s="1" t="s">
        <v>187</v>
      </c>
    </row>
    <row r="159">
      <c r="B159" s="1" t="s">
        <v>704</v>
      </c>
      <c r="C159" s="1" t="s">
        <v>163</v>
      </c>
      <c r="D159" s="4">
        <v>150.0</v>
      </c>
      <c r="E159" s="1" t="s">
        <v>171</v>
      </c>
      <c r="F159" s="6">
        <v>46240.0</v>
      </c>
      <c r="G159" s="1" t="s">
        <v>913</v>
      </c>
      <c r="H159" s="1" t="s">
        <v>62</v>
      </c>
      <c r="I159" s="1" t="s">
        <v>835</v>
      </c>
      <c r="J159" s="1" t="s">
        <v>709</v>
      </c>
      <c r="L159" s="1" t="s">
        <v>164</v>
      </c>
    </row>
    <row r="160">
      <c r="B160" s="1" t="s">
        <v>704</v>
      </c>
      <c r="C160" s="1" t="s">
        <v>186</v>
      </c>
      <c r="D160" s="4">
        <v>1.0</v>
      </c>
      <c r="E160" s="1" t="s">
        <v>171</v>
      </c>
      <c r="F160" s="6">
        <v>46240.0</v>
      </c>
      <c r="G160" s="1" t="s">
        <v>915</v>
      </c>
      <c r="H160" s="1" t="s">
        <v>62</v>
      </c>
      <c r="I160" s="1" t="s">
        <v>835</v>
      </c>
      <c r="J160" s="1" t="s">
        <v>709</v>
      </c>
      <c r="L160" s="1" t="s">
        <v>187</v>
      </c>
    </row>
    <row r="161">
      <c r="B161" s="1" t="s">
        <v>704</v>
      </c>
      <c r="C161" s="1" t="s">
        <v>163</v>
      </c>
      <c r="D161" s="4">
        <v>150.0</v>
      </c>
      <c r="E161" s="1" t="s">
        <v>171</v>
      </c>
      <c r="F161" s="6">
        <v>46240.0</v>
      </c>
      <c r="G161" s="1" t="s">
        <v>915</v>
      </c>
      <c r="H161" s="1" t="s">
        <v>62</v>
      </c>
      <c r="I161" s="1" t="s">
        <v>835</v>
      </c>
      <c r="J161" s="1" t="s">
        <v>709</v>
      </c>
      <c r="L161" s="1" t="s">
        <v>164</v>
      </c>
    </row>
    <row r="162">
      <c r="B162" s="1" t="s">
        <v>701</v>
      </c>
      <c r="C162" s="1" t="s">
        <v>325</v>
      </c>
      <c r="D162" s="4">
        <v>1000.0</v>
      </c>
      <c r="E162" s="1" t="s">
        <v>171</v>
      </c>
      <c r="F162" s="6">
        <v>46240.0</v>
      </c>
      <c r="G162" s="1" t="s">
        <v>916</v>
      </c>
      <c r="H162" s="1" t="s">
        <v>62</v>
      </c>
      <c r="I162" s="1" t="s">
        <v>835</v>
      </c>
      <c r="L162" s="1" t="s">
        <v>326</v>
      </c>
    </row>
    <row r="163">
      <c r="B163" s="1" t="s">
        <v>701</v>
      </c>
      <c r="C163" s="1" t="s">
        <v>395</v>
      </c>
      <c r="D163" s="4">
        <v>200.0</v>
      </c>
      <c r="E163" s="1" t="s">
        <v>171</v>
      </c>
      <c r="F163" s="6">
        <v>46240.0</v>
      </c>
      <c r="G163" s="1" t="s">
        <v>916</v>
      </c>
      <c r="H163" s="1" t="s">
        <v>62</v>
      </c>
      <c r="I163" s="1" t="s">
        <v>835</v>
      </c>
      <c r="L163" s="1" t="s">
        <v>396</v>
      </c>
    </row>
    <row r="164">
      <c r="B164" s="1" t="s">
        <v>711</v>
      </c>
      <c r="C164" s="1" t="s">
        <v>186</v>
      </c>
      <c r="D164" s="4">
        <v>50.0</v>
      </c>
      <c r="E164" s="1" t="s">
        <v>171</v>
      </c>
      <c r="F164" s="6">
        <v>46241.0</v>
      </c>
      <c r="G164" s="1" t="s">
        <v>919</v>
      </c>
      <c r="H164" s="1" t="s">
        <v>62</v>
      </c>
      <c r="I164" s="1" t="s">
        <v>835</v>
      </c>
      <c r="L164" s="1" t="s">
        <v>187</v>
      </c>
    </row>
    <row r="165">
      <c r="B165" s="1" t="s">
        <v>716</v>
      </c>
      <c r="C165" s="1" t="s">
        <v>428</v>
      </c>
      <c r="D165" s="4">
        <v>5.0</v>
      </c>
      <c r="E165" s="1" t="s">
        <v>171</v>
      </c>
      <c r="F165" s="6">
        <v>46245.0</v>
      </c>
      <c r="G165" s="1" t="s">
        <v>922</v>
      </c>
      <c r="H165" s="1" t="s">
        <v>62</v>
      </c>
      <c r="I165" s="1" t="s">
        <v>835</v>
      </c>
      <c r="J165" s="1" t="s">
        <v>719</v>
      </c>
      <c r="L165" s="1" t="s">
        <v>429</v>
      </c>
    </row>
    <row r="166">
      <c r="B166" s="1" t="s">
        <v>716</v>
      </c>
      <c r="C166" s="1" t="s">
        <v>441</v>
      </c>
      <c r="D166" s="4">
        <v>10.0</v>
      </c>
      <c r="E166" s="1" t="s">
        <v>171</v>
      </c>
      <c r="F166" s="6">
        <v>46245.0</v>
      </c>
      <c r="G166" s="1" t="s">
        <v>922</v>
      </c>
      <c r="H166" s="1" t="s">
        <v>62</v>
      </c>
      <c r="I166" s="1" t="s">
        <v>835</v>
      </c>
      <c r="J166" s="1" t="s">
        <v>719</v>
      </c>
      <c r="L166" s="1" t="s">
        <v>445</v>
      </c>
    </row>
    <row r="167">
      <c r="B167" s="1" t="s">
        <v>716</v>
      </c>
      <c r="C167" s="1" t="s">
        <v>405</v>
      </c>
      <c r="D167" s="4">
        <v>5.0</v>
      </c>
      <c r="E167" s="1" t="s">
        <v>171</v>
      </c>
      <c r="F167" s="6">
        <v>46245.0</v>
      </c>
      <c r="G167" s="1" t="s">
        <v>922</v>
      </c>
      <c r="H167" s="1" t="s">
        <v>62</v>
      </c>
      <c r="I167" s="1" t="s">
        <v>835</v>
      </c>
      <c r="J167" s="1" t="s">
        <v>719</v>
      </c>
      <c r="L167" s="1" t="s">
        <v>455</v>
      </c>
    </row>
    <row r="168">
      <c r="B168" s="1" t="s">
        <v>716</v>
      </c>
      <c r="C168" s="1" t="s">
        <v>291</v>
      </c>
      <c r="D168" s="4">
        <v>5.0</v>
      </c>
      <c r="E168" s="1" t="s">
        <v>171</v>
      </c>
      <c r="F168" s="6">
        <v>46245.0</v>
      </c>
      <c r="G168" s="1" t="s">
        <v>922</v>
      </c>
      <c r="H168" s="1" t="s">
        <v>62</v>
      </c>
      <c r="I168" s="1" t="s">
        <v>835</v>
      </c>
      <c r="J168" s="1" t="s">
        <v>719</v>
      </c>
      <c r="L168" s="1" t="s">
        <v>292</v>
      </c>
    </row>
    <row r="169">
      <c r="B169" s="1" t="s">
        <v>31</v>
      </c>
      <c r="C169" s="1" t="s">
        <v>537</v>
      </c>
      <c r="D169" s="4">
        <v>300.0</v>
      </c>
      <c r="E169" s="1" t="s">
        <v>41</v>
      </c>
      <c r="F169" s="6">
        <v>46252.0</v>
      </c>
      <c r="G169" s="1" t="s">
        <v>929</v>
      </c>
      <c r="H169" s="1" t="s">
        <v>62</v>
      </c>
      <c r="I169" s="1" t="s">
        <v>897</v>
      </c>
      <c r="J169" s="1" t="s">
        <v>52</v>
      </c>
      <c r="L169" s="1" t="s">
        <v>539</v>
      </c>
    </row>
    <row r="170">
      <c r="B170" s="1" t="s">
        <v>739</v>
      </c>
      <c r="C170" s="1" t="s">
        <v>262</v>
      </c>
      <c r="D170" s="4">
        <v>100.0</v>
      </c>
      <c r="E170" s="1" t="s">
        <v>171</v>
      </c>
      <c r="F170" s="6">
        <v>46252.0</v>
      </c>
      <c r="G170" s="1" t="s">
        <v>931</v>
      </c>
      <c r="H170" s="1" t="s">
        <v>62</v>
      </c>
      <c r="I170" s="1" t="s">
        <v>835</v>
      </c>
      <c r="J170" s="1" t="s">
        <v>742</v>
      </c>
      <c r="L170" s="1" t="s">
        <v>263</v>
      </c>
    </row>
    <row r="171">
      <c r="B171" s="1" t="s">
        <v>739</v>
      </c>
      <c r="C171" s="1" t="s">
        <v>484</v>
      </c>
      <c r="D171" s="4">
        <v>1.0</v>
      </c>
      <c r="E171" s="1" t="s">
        <v>171</v>
      </c>
      <c r="F171" s="6">
        <v>46252.0</v>
      </c>
      <c r="G171" s="1" t="s">
        <v>931</v>
      </c>
      <c r="H171" s="1" t="s">
        <v>62</v>
      </c>
      <c r="I171" s="1" t="s">
        <v>835</v>
      </c>
      <c r="J171" s="1" t="s">
        <v>742</v>
      </c>
      <c r="L171" s="1" t="s">
        <v>932</v>
      </c>
    </row>
    <row r="172">
      <c r="B172" s="1" t="s">
        <v>739</v>
      </c>
      <c r="C172" s="1" t="s">
        <v>360</v>
      </c>
      <c r="D172" s="4">
        <v>1.0</v>
      </c>
      <c r="E172" s="1" t="s">
        <v>171</v>
      </c>
      <c r="F172" s="6">
        <v>46252.0</v>
      </c>
      <c r="G172" s="1" t="s">
        <v>931</v>
      </c>
      <c r="H172" s="1" t="s">
        <v>62</v>
      </c>
      <c r="I172" s="1" t="s">
        <v>835</v>
      </c>
      <c r="J172" s="1" t="s">
        <v>742</v>
      </c>
      <c r="L172" s="1" t="s">
        <v>362</v>
      </c>
    </row>
    <row r="173">
      <c r="B173" s="1" t="s">
        <v>739</v>
      </c>
      <c r="C173" s="1" t="s">
        <v>441</v>
      </c>
      <c r="D173" s="4">
        <v>5.0</v>
      </c>
      <c r="E173" s="1" t="s">
        <v>171</v>
      </c>
      <c r="F173" s="6">
        <v>46252.0</v>
      </c>
      <c r="G173" s="1" t="s">
        <v>931</v>
      </c>
      <c r="H173" s="1" t="s">
        <v>62</v>
      </c>
      <c r="I173" s="1" t="s">
        <v>835</v>
      </c>
      <c r="J173" s="1" t="s">
        <v>742</v>
      </c>
      <c r="L173" s="1" t="s">
        <v>445</v>
      </c>
    </row>
    <row r="174">
      <c r="B174" s="1" t="s">
        <v>735</v>
      </c>
      <c r="C174" s="1" t="s">
        <v>405</v>
      </c>
      <c r="D174" s="4">
        <v>5.0</v>
      </c>
      <c r="E174" s="1" t="s">
        <v>171</v>
      </c>
      <c r="F174" s="6">
        <v>46252.0</v>
      </c>
      <c r="G174" s="1" t="s">
        <v>934</v>
      </c>
      <c r="H174" s="1" t="s">
        <v>62</v>
      </c>
      <c r="I174" s="1" t="s">
        <v>835</v>
      </c>
      <c r="L174" s="1" t="s">
        <v>455</v>
      </c>
    </row>
    <row r="175">
      <c r="B175" s="1" t="s">
        <v>735</v>
      </c>
      <c r="C175" s="1" t="s">
        <v>428</v>
      </c>
      <c r="D175" s="4">
        <v>12.0</v>
      </c>
      <c r="E175" s="1" t="s">
        <v>171</v>
      </c>
      <c r="F175" s="6">
        <v>46252.0</v>
      </c>
      <c r="G175" s="1" t="s">
        <v>934</v>
      </c>
      <c r="H175" s="1" t="s">
        <v>62</v>
      </c>
      <c r="I175" s="1" t="s">
        <v>835</v>
      </c>
      <c r="L175" s="1" t="s">
        <v>429</v>
      </c>
    </row>
    <row r="176">
      <c r="B176" s="1" t="s">
        <v>735</v>
      </c>
      <c r="C176" s="1" t="s">
        <v>262</v>
      </c>
      <c r="D176" s="4">
        <v>50.0</v>
      </c>
      <c r="E176" s="1" t="s">
        <v>171</v>
      </c>
      <c r="F176" s="6">
        <v>46252.0</v>
      </c>
      <c r="G176" s="1" t="s">
        <v>934</v>
      </c>
      <c r="H176" s="1" t="s">
        <v>62</v>
      </c>
      <c r="I176" s="1" t="s">
        <v>835</v>
      </c>
      <c r="L176" s="1" t="s">
        <v>263</v>
      </c>
    </row>
    <row r="177">
      <c r="B177" s="1" t="s">
        <v>725</v>
      </c>
      <c r="C177" s="1" t="s">
        <v>428</v>
      </c>
      <c r="D177" s="4">
        <v>20.0</v>
      </c>
      <c r="E177" s="1" t="s">
        <v>171</v>
      </c>
      <c r="F177" s="6">
        <v>46252.0</v>
      </c>
      <c r="G177" s="1" t="s">
        <v>937</v>
      </c>
      <c r="H177" s="1" t="s">
        <v>62</v>
      </c>
      <c r="I177" s="1" t="s">
        <v>835</v>
      </c>
      <c r="L177" s="1" t="s">
        <v>429</v>
      </c>
    </row>
    <row r="178">
      <c r="B178" s="1" t="s">
        <v>725</v>
      </c>
      <c r="C178" s="1" t="s">
        <v>405</v>
      </c>
      <c r="D178" s="4">
        <v>50.0</v>
      </c>
      <c r="E178" s="1" t="s">
        <v>171</v>
      </c>
      <c r="F178" s="6">
        <v>46252.0</v>
      </c>
      <c r="G178" s="1" t="s">
        <v>937</v>
      </c>
      <c r="H178" s="1" t="s">
        <v>62</v>
      </c>
      <c r="I178" s="1" t="s">
        <v>835</v>
      </c>
      <c r="L178" s="1" t="s">
        <v>455</v>
      </c>
    </row>
    <row r="179">
      <c r="B179" s="1" t="s">
        <v>725</v>
      </c>
      <c r="C179" s="1" t="s">
        <v>331</v>
      </c>
      <c r="D179" s="4">
        <v>10.0</v>
      </c>
      <c r="E179" s="1" t="s">
        <v>171</v>
      </c>
      <c r="F179" s="6">
        <v>46252.0</v>
      </c>
      <c r="G179" s="1" t="s">
        <v>937</v>
      </c>
      <c r="H179" s="1" t="s">
        <v>62</v>
      </c>
      <c r="I179" s="1" t="s">
        <v>835</v>
      </c>
      <c r="L179" s="1" t="s">
        <v>332</v>
      </c>
    </row>
    <row r="180">
      <c r="B180" s="1" t="s">
        <v>725</v>
      </c>
      <c r="C180" s="1" t="s">
        <v>441</v>
      </c>
      <c r="D180" s="4">
        <v>50.0</v>
      </c>
      <c r="E180" s="1" t="s">
        <v>171</v>
      </c>
      <c r="F180" s="6">
        <v>46252.0</v>
      </c>
      <c r="G180" s="1" t="s">
        <v>937</v>
      </c>
      <c r="H180" s="1" t="s">
        <v>62</v>
      </c>
      <c r="I180" s="1" t="s">
        <v>835</v>
      </c>
      <c r="L180" s="1" t="s">
        <v>445</v>
      </c>
    </row>
    <row r="181">
      <c r="B181" s="1" t="s">
        <v>730</v>
      </c>
      <c r="C181" s="1" t="s">
        <v>163</v>
      </c>
      <c r="D181" s="4">
        <v>30.0</v>
      </c>
      <c r="E181" s="1" t="s">
        <v>171</v>
      </c>
      <c r="F181" s="6">
        <v>46252.0</v>
      </c>
      <c r="G181" s="1" t="s">
        <v>941</v>
      </c>
      <c r="H181" s="1" t="s">
        <v>62</v>
      </c>
      <c r="I181" s="1" t="s">
        <v>835</v>
      </c>
      <c r="L181" s="1" t="s">
        <v>164</v>
      </c>
    </row>
    <row r="182">
      <c r="B182" s="1" t="s">
        <v>721</v>
      </c>
      <c r="C182" s="1" t="s">
        <v>428</v>
      </c>
      <c r="D182" s="4">
        <v>20.0</v>
      </c>
      <c r="E182" s="1" t="s">
        <v>171</v>
      </c>
      <c r="F182" s="6">
        <v>46252.0</v>
      </c>
      <c r="G182" s="1" t="s">
        <v>942</v>
      </c>
      <c r="H182" s="1" t="s">
        <v>62</v>
      </c>
      <c r="I182" s="1" t="s">
        <v>835</v>
      </c>
      <c r="L182" s="1" t="s">
        <v>429</v>
      </c>
    </row>
    <row r="183">
      <c r="B183" s="1" t="s">
        <v>721</v>
      </c>
      <c r="C183" s="1" t="s">
        <v>405</v>
      </c>
      <c r="D183" s="4">
        <v>20.0</v>
      </c>
      <c r="E183" s="1" t="s">
        <v>171</v>
      </c>
      <c r="F183" s="6">
        <v>46252.0</v>
      </c>
      <c r="G183" s="1" t="s">
        <v>942</v>
      </c>
      <c r="H183" s="1" t="s">
        <v>62</v>
      </c>
      <c r="I183" s="1" t="s">
        <v>835</v>
      </c>
      <c r="L183" s="1" t="s">
        <v>455</v>
      </c>
    </row>
    <row r="184">
      <c r="B184" s="1" t="s">
        <v>721</v>
      </c>
      <c r="C184" s="1" t="s">
        <v>291</v>
      </c>
      <c r="D184" s="4">
        <v>20.0</v>
      </c>
      <c r="E184" s="1" t="s">
        <v>171</v>
      </c>
      <c r="F184" s="6">
        <v>46252.0</v>
      </c>
      <c r="G184" s="1" t="s">
        <v>942</v>
      </c>
      <c r="H184" s="1" t="s">
        <v>62</v>
      </c>
      <c r="I184" s="1" t="s">
        <v>835</v>
      </c>
      <c r="L184" s="1" t="s">
        <v>292</v>
      </c>
    </row>
    <row r="185">
      <c r="B185" s="1" t="s">
        <v>721</v>
      </c>
      <c r="C185" s="1" t="s">
        <v>441</v>
      </c>
      <c r="D185" s="4">
        <v>20.0</v>
      </c>
      <c r="E185" s="1" t="s">
        <v>171</v>
      </c>
      <c r="F185" s="6">
        <v>46252.0</v>
      </c>
      <c r="G185" s="1" t="s">
        <v>942</v>
      </c>
      <c r="H185" s="1" t="s">
        <v>62</v>
      </c>
      <c r="I185" s="1" t="s">
        <v>835</v>
      </c>
      <c r="L185" s="1" t="s">
        <v>445</v>
      </c>
    </row>
    <row r="186">
      <c r="B186" s="1" t="s">
        <v>744</v>
      </c>
      <c r="C186" s="1" t="s">
        <v>537</v>
      </c>
      <c r="D186" s="4">
        <v>10.0</v>
      </c>
      <c r="E186" s="1" t="s">
        <v>171</v>
      </c>
      <c r="F186" s="6">
        <v>46253.0</v>
      </c>
      <c r="G186" s="1" t="s">
        <v>944</v>
      </c>
      <c r="H186" s="1" t="s">
        <v>62</v>
      </c>
      <c r="I186" s="1" t="s">
        <v>835</v>
      </c>
      <c r="L186" s="1" t="s">
        <v>539</v>
      </c>
    </row>
    <row r="187">
      <c r="B187" s="1" t="s">
        <v>31</v>
      </c>
      <c r="C187" s="1" t="s">
        <v>551</v>
      </c>
      <c r="D187" s="4">
        <v>110.0</v>
      </c>
      <c r="E187" s="1" t="s">
        <v>41</v>
      </c>
      <c r="F187" s="6">
        <v>46237.0</v>
      </c>
      <c r="G187" s="1" t="s">
        <v>948</v>
      </c>
      <c r="H187" s="1" t="s">
        <v>62</v>
      </c>
      <c r="I187" s="1" t="s">
        <v>897</v>
      </c>
      <c r="J187" s="1" t="s">
        <v>52</v>
      </c>
      <c r="L187" s="1" t="s">
        <v>552</v>
      </c>
    </row>
    <row r="188">
      <c r="B188" s="1" t="s">
        <v>31</v>
      </c>
      <c r="C188" s="1" t="s">
        <v>563</v>
      </c>
      <c r="D188" s="4">
        <v>100.0</v>
      </c>
      <c r="E188" s="1" t="s">
        <v>41</v>
      </c>
      <c r="F188" s="6">
        <v>46259.0</v>
      </c>
      <c r="G188" s="1" t="s">
        <v>955</v>
      </c>
      <c r="H188" s="1" t="s">
        <v>62</v>
      </c>
      <c r="I188" s="1" t="s">
        <v>897</v>
      </c>
      <c r="J188" s="1" t="s">
        <v>52</v>
      </c>
      <c r="L188" s="1" t="s">
        <v>564</v>
      </c>
    </row>
    <row r="189">
      <c r="B189" s="1" t="s">
        <v>31</v>
      </c>
      <c r="C189" s="1" t="s">
        <v>956</v>
      </c>
      <c r="D189" s="4">
        <v>100.0</v>
      </c>
      <c r="E189" s="1" t="s">
        <v>41</v>
      </c>
      <c r="F189" s="6">
        <v>46259.0</v>
      </c>
      <c r="G189" s="1" t="s">
        <v>957</v>
      </c>
      <c r="H189" s="1" t="s">
        <v>62</v>
      </c>
      <c r="I189" s="1" t="s">
        <v>897</v>
      </c>
      <c r="J189" s="1" t="s">
        <v>52</v>
      </c>
      <c r="L189" s="1" t="s">
        <v>564</v>
      </c>
    </row>
    <row r="190">
      <c r="B190" s="1" t="s">
        <v>756</v>
      </c>
      <c r="C190" s="1" t="s">
        <v>331</v>
      </c>
      <c r="D190" s="4">
        <v>10.0</v>
      </c>
      <c r="E190" s="1" t="s">
        <v>171</v>
      </c>
      <c r="F190" s="6">
        <v>46260.0</v>
      </c>
      <c r="G190" s="1" t="s">
        <v>961</v>
      </c>
      <c r="H190" s="1" t="s">
        <v>62</v>
      </c>
      <c r="I190" s="1" t="s">
        <v>835</v>
      </c>
      <c r="L190" s="1" t="s">
        <v>332</v>
      </c>
    </row>
    <row r="191">
      <c r="B191" s="1" t="s">
        <v>751</v>
      </c>
      <c r="C191" s="1" t="s">
        <v>441</v>
      </c>
      <c r="D191" s="4">
        <v>70.0</v>
      </c>
      <c r="E191" s="1" t="s">
        <v>171</v>
      </c>
      <c r="F191" s="6">
        <v>46260.0</v>
      </c>
      <c r="G191" s="1" t="s">
        <v>962</v>
      </c>
      <c r="H191" s="1" t="s">
        <v>62</v>
      </c>
      <c r="I191" s="1" t="s">
        <v>835</v>
      </c>
      <c r="L191" s="1" t="s">
        <v>445</v>
      </c>
    </row>
    <row r="192">
      <c r="B192" s="1" t="s">
        <v>760</v>
      </c>
      <c r="C192" s="1" t="s">
        <v>551</v>
      </c>
      <c r="D192" s="4">
        <v>110.0</v>
      </c>
      <c r="E192" s="1" t="s">
        <v>171</v>
      </c>
      <c r="F192" s="6">
        <v>46262.0</v>
      </c>
      <c r="G192" s="1" t="s">
        <v>964</v>
      </c>
      <c r="H192" s="1" t="s">
        <v>62</v>
      </c>
      <c r="I192" s="1" t="s">
        <v>835</v>
      </c>
      <c r="L192" s="1" t="s">
        <v>552</v>
      </c>
    </row>
    <row r="193">
      <c r="B193" s="1" t="s">
        <v>31</v>
      </c>
      <c r="C193" s="1" t="s">
        <v>575</v>
      </c>
      <c r="D193" s="4">
        <v>100.0</v>
      </c>
      <c r="E193" s="1" t="s">
        <v>41</v>
      </c>
      <c r="F193" s="6">
        <v>46262.0</v>
      </c>
      <c r="G193" s="1" t="s">
        <v>966</v>
      </c>
      <c r="H193" s="1" t="s">
        <v>62</v>
      </c>
      <c r="I193" s="1" t="s">
        <v>897</v>
      </c>
      <c r="J193" s="1" t="s">
        <v>52</v>
      </c>
      <c r="L193" s="1" t="s">
        <v>576</v>
      </c>
    </row>
    <row r="194">
      <c r="B194" s="1" t="s">
        <v>765</v>
      </c>
      <c r="C194" s="1" t="s">
        <v>405</v>
      </c>
      <c r="D194" s="4">
        <v>20.0</v>
      </c>
      <c r="E194" s="1" t="s">
        <v>171</v>
      </c>
      <c r="F194" s="6">
        <v>46265.0</v>
      </c>
      <c r="G194" s="1" t="s">
        <v>770</v>
      </c>
      <c r="H194" s="1" t="s">
        <v>62</v>
      </c>
      <c r="I194" s="1" t="s">
        <v>835</v>
      </c>
      <c r="L194" s="1" t="s">
        <v>455</v>
      </c>
    </row>
    <row r="195">
      <c r="B195" s="1" t="s">
        <v>765</v>
      </c>
      <c r="C195" s="1" t="s">
        <v>428</v>
      </c>
      <c r="D195" s="4">
        <v>20.0</v>
      </c>
      <c r="E195" s="1" t="s">
        <v>171</v>
      </c>
      <c r="F195" s="6">
        <v>46265.0</v>
      </c>
      <c r="G195" s="1" t="s">
        <v>770</v>
      </c>
      <c r="H195" s="1" t="s">
        <v>62</v>
      </c>
      <c r="I195" s="1" t="s">
        <v>835</v>
      </c>
      <c r="L195" s="1" t="s">
        <v>429</v>
      </c>
    </row>
    <row r="196">
      <c r="B196" s="1" t="s">
        <v>772</v>
      </c>
      <c r="C196" s="1" t="s">
        <v>551</v>
      </c>
      <c r="D196" s="4">
        <v>110.0</v>
      </c>
      <c r="E196" s="1" t="s">
        <v>171</v>
      </c>
      <c r="F196" s="6">
        <v>46265.0</v>
      </c>
      <c r="G196" s="1" t="s">
        <v>774</v>
      </c>
      <c r="H196" s="1" t="s">
        <v>62</v>
      </c>
      <c r="I196" s="1" t="s">
        <v>835</v>
      </c>
      <c r="L196" s="1" t="s">
        <v>552</v>
      </c>
    </row>
    <row r="197">
      <c r="B197" s="1" t="s">
        <v>860</v>
      </c>
      <c r="C197" s="1" t="s">
        <v>56</v>
      </c>
      <c r="D197" s="4">
        <v>400.0</v>
      </c>
      <c r="E197" s="1" t="s">
        <v>41</v>
      </c>
      <c r="F197" s="6">
        <v>46265.0</v>
      </c>
      <c r="J197" s="1" t="s">
        <v>197</v>
      </c>
      <c r="L197" s="1" t="s">
        <v>58</v>
      </c>
    </row>
    <row r="198">
      <c r="B198" s="1" t="s">
        <v>779</v>
      </c>
      <c r="C198" s="1" t="s">
        <v>331</v>
      </c>
      <c r="D198" s="4">
        <v>10.0</v>
      </c>
      <c r="E198" s="1" t="s">
        <v>171</v>
      </c>
      <c r="F198" s="6">
        <v>46265.0</v>
      </c>
      <c r="G198" s="1" t="s">
        <v>783</v>
      </c>
      <c r="H198" s="1" t="s">
        <v>62</v>
      </c>
      <c r="I198" s="1" t="s">
        <v>835</v>
      </c>
      <c r="L198" s="1" t="s">
        <v>332</v>
      </c>
    </row>
    <row r="199">
      <c r="B199" s="1" t="s">
        <v>779</v>
      </c>
      <c r="C199" s="1" t="s">
        <v>428</v>
      </c>
      <c r="D199" s="4">
        <v>20.0</v>
      </c>
      <c r="E199" s="1" t="s">
        <v>171</v>
      </c>
      <c r="F199" s="6">
        <v>46265.0</v>
      </c>
      <c r="G199" s="1" t="s">
        <v>783</v>
      </c>
      <c r="H199" s="1" t="s">
        <v>62</v>
      </c>
      <c r="I199" s="1" t="s">
        <v>835</v>
      </c>
      <c r="L199" s="1" t="s">
        <v>429</v>
      </c>
    </row>
    <row r="200">
      <c r="B200" s="1" t="s">
        <v>779</v>
      </c>
      <c r="C200" s="1" t="s">
        <v>441</v>
      </c>
      <c r="D200" s="4">
        <v>50.0</v>
      </c>
      <c r="E200" s="1" t="s">
        <v>171</v>
      </c>
      <c r="F200" s="6">
        <v>46265.0</v>
      </c>
      <c r="G200" s="1" t="s">
        <v>783</v>
      </c>
      <c r="H200" s="1" t="s">
        <v>62</v>
      </c>
      <c r="I200" s="1" t="s">
        <v>835</v>
      </c>
      <c r="L200" s="1" t="s">
        <v>445</v>
      </c>
    </row>
    <row r="201">
      <c r="B201" s="1" t="s">
        <v>779</v>
      </c>
      <c r="C201" s="1" t="s">
        <v>405</v>
      </c>
      <c r="D201" s="4">
        <v>50.0</v>
      </c>
      <c r="E201" s="1" t="s">
        <v>171</v>
      </c>
      <c r="F201" s="6">
        <v>46265.0</v>
      </c>
      <c r="G201" s="1" t="s">
        <v>783</v>
      </c>
      <c r="H201" s="1" t="s">
        <v>62</v>
      </c>
      <c r="I201" s="1" t="s">
        <v>835</v>
      </c>
      <c r="L201" s="1" t="s">
        <v>455</v>
      </c>
    </row>
    <row r="202">
      <c r="B202" s="1" t="s">
        <v>801</v>
      </c>
      <c r="C202" s="1" t="s">
        <v>56</v>
      </c>
      <c r="D202" s="4">
        <v>100.0</v>
      </c>
      <c r="E202" s="1" t="s">
        <v>171</v>
      </c>
      <c r="F202" s="6">
        <v>46265.0</v>
      </c>
      <c r="G202" s="1" t="s">
        <v>804</v>
      </c>
      <c r="H202" s="1" t="s">
        <v>62</v>
      </c>
      <c r="I202" s="1" t="s">
        <v>835</v>
      </c>
      <c r="L202" s="1" t="s">
        <v>58</v>
      </c>
    </row>
    <row r="203">
      <c r="B203" s="1" t="s">
        <v>801</v>
      </c>
      <c r="C203" s="1" t="s">
        <v>262</v>
      </c>
      <c r="D203" s="4">
        <v>67.0</v>
      </c>
      <c r="E203" s="1" t="s">
        <v>171</v>
      </c>
      <c r="F203" s="6">
        <v>46265.0</v>
      </c>
      <c r="G203" s="1" t="s">
        <v>804</v>
      </c>
      <c r="H203" s="1" t="s">
        <v>62</v>
      </c>
      <c r="I203" s="1" t="s">
        <v>835</v>
      </c>
      <c r="L203" s="1" t="s">
        <v>263</v>
      </c>
    </row>
    <row r="204">
      <c r="B204" s="1" t="s">
        <v>801</v>
      </c>
      <c r="C204" s="1" t="s">
        <v>325</v>
      </c>
      <c r="D204" s="4">
        <v>100.0</v>
      </c>
      <c r="E204" s="1" t="s">
        <v>171</v>
      </c>
      <c r="F204" s="6">
        <v>46265.0</v>
      </c>
      <c r="G204" s="1" t="s">
        <v>804</v>
      </c>
      <c r="H204" s="1" t="s">
        <v>62</v>
      </c>
      <c r="I204" s="1" t="s">
        <v>835</v>
      </c>
      <c r="L204" s="1" t="s">
        <v>326</v>
      </c>
    </row>
    <row r="205">
      <c r="B205" s="1" t="s">
        <v>801</v>
      </c>
      <c r="C205" s="1" t="s">
        <v>395</v>
      </c>
      <c r="D205" s="4">
        <v>100.0</v>
      </c>
      <c r="E205" s="1" t="s">
        <v>171</v>
      </c>
      <c r="F205" s="6">
        <v>46265.0</v>
      </c>
      <c r="G205" s="1" t="s">
        <v>804</v>
      </c>
      <c r="H205" s="1" t="s">
        <v>62</v>
      </c>
      <c r="I205" s="1" t="s">
        <v>835</v>
      </c>
      <c r="L205" s="1" t="s">
        <v>396</v>
      </c>
    </row>
    <row r="206">
      <c r="B206" s="1" t="s">
        <v>801</v>
      </c>
      <c r="C206" s="1" t="s">
        <v>186</v>
      </c>
      <c r="D206" s="4">
        <v>100.0</v>
      </c>
      <c r="E206" s="1" t="s">
        <v>171</v>
      </c>
      <c r="F206" s="6">
        <v>46265.0</v>
      </c>
      <c r="G206" s="1" t="s">
        <v>804</v>
      </c>
      <c r="H206" s="1" t="s">
        <v>62</v>
      </c>
      <c r="I206" s="1" t="s">
        <v>835</v>
      </c>
      <c r="L206" s="1" t="s">
        <v>187</v>
      </c>
    </row>
  </sheetData>
  <autoFilter ref="$A$1:$L$11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63"/>
    <col customWidth="1" min="5" max="5" width="21.25"/>
  </cols>
  <sheetData>
    <row r="1">
      <c r="A1" s="1" t="s">
        <v>904</v>
      </c>
      <c r="B1" s="1" t="s">
        <v>9</v>
      </c>
      <c r="C1" s="1" t="s">
        <v>905</v>
      </c>
      <c r="D1" s="1" t="s">
        <v>14</v>
      </c>
      <c r="E1" s="1" t="s">
        <v>24</v>
      </c>
      <c r="F1" s="1" t="s">
        <v>27</v>
      </c>
      <c r="G1" s="1" t="s">
        <v>28</v>
      </c>
      <c r="H1" s="1" t="s">
        <v>7</v>
      </c>
    </row>
    <row r="2">
      <c r="A2" s="1" t="s">
        <v>908</v>
      </c>
      <c r="B2" s="1" t="s">
        <v>260</v>
      </c>
      <c r="C2" s="1" t="s">
        <v>910</v>
      </c>
      <c r="D2" s="1" t="s">
        <v>809</v>
      </c>
      <c r="E2" s="1" t="s">
        <v>276</v>
      </c>
      <c r="F2" s="1" t="s">
        <v>40</v>
      </c>
      <c r="G2" s="1" t="s">
        <v>275</v>
      </c>
      <c r="I2" s="11" t="str">
        <f t="array" ref="I2">_xlfn.XLOOKUP(B2,Tickets!A:A,Tickets!A:A)</f>
        <v>TKT-1771577788359</v>
      </c>
    </row>
    <row r="3">
      <c r="A3" s="1" t="s">
        <v>917</v>
      </c>
      <c r="B3" s="1" t="s">
        <v>260</v>
      </c>
      <c r="C3" s="1" t="s">
        <v>771</v>
      </c>
      <c r="D3" s="1" t="s">
        <v>771</v>
      </c>
      <c r="E3" s="1" t="s">
        <v>918</v>
      </c>
      <c r="F3" s="1" t="s">
        <v>62</v>
      </c>
      <c r="G3" s="1" t="s">
        <v>277</v>
      </c>
      <c r="H3" s="1" t="s">
        <v>215</v>
      </c>
      <c r="I3" s="11" t="str">
        <f t="array" ref="I3">_xlfn.XLOOKUP(B3,Tickets!A:A,Tickets!A:A)</f>
        <v>TKT-1771577788359</v>
      </c>
    </row>
    <row r="4">
      <c r="A4" s="1" t="s">
        <v>921</v>
      </c>
      <c r="B4" s="1" t="s">
        <v>260</v>
      </c>
      <c r="C4" s="1" t="s">
        <v>280</v>
      </c>
      <c r="D4" s="1" t="s">
        <v>280</v>
      </c>
      <c r="E4" s="1" t="s">
        <v>924</v>
      </c>
      <c r="F4" s="1" t="s">
        <v>82</v>
      </c>
      <c r="H4" s="1" t="s">
        <v>925</v>
      </c>
      <c r="I4" s="11" t="str">
        <f t="array" ref="I4">_xlfn.XLOOKUP(B4,Tickets!A:A,Tickets!A:A)</f>
        <v>TKT-1771577788359</v>
      </c>
    </row>
    <row r="5">
      <c r="A5" s="1" t="s">
        <v>927</v>
      </c>
      <c r="B5" s="1" t="s">
        <v>260</v>
      </c>
      <c r="C5" s="1" t="s">
        <v>280</v>
      </c>
      <c r="D5" s="1" t="s">
        <v>280</v>
      </c>
      <c r="E5" s="1" t="s">
        <v>928</v>
      </c>
      <c r="F5" s="1" t="s">
        <v>82</v>
      </c>
      <c r="H5" s="1" t="s">
        <v>925</v>
      </c>
      <c r="I5" s="11" t="str">
        <f t="array" ref="I5">_xlfn.XLOOKUP(B5,Tickets!A:A,Tickets!A:A)</f>
        <v>TKT-1771577788359</v>
      </c>
    </row>
    <row r="6">
      <c r="A6" s="1" t="s">
        <v>930</v>
      </c>
      <c r="B6" s="1" t="s">
        <v>282</v>
      </c>
      <c r="C6" s="1" t="s">
        <v>910</v>
      </c>
      <c r="D6" s="1" t="s">
        <v>809</v>
      </c>
      <c r="E6" s="1" t="s">
        <v>288</v>
      </c>
      <c r="F6" s="1" t="s">
        <v>57</v>
      </c>
      <c r="G6" s="1" t="s">
        <v>287</v>
      </c>
      <c r="I6" s="11" t="str">
        <f t="array" ref="I6">_xlfn.XLOOKUP(B6,Tickets!A:A,Tickets!A:A)</f>
        <v>TKT-1772507237246</v>
      </c>
    </row>
    <row r="7">
      <c r="A7" s="1" t="s">
        <v>933</v>
      </c>
      <c r="B7" s="1" t="s">
        <v>290</v>
      </c>
      <c r="C7" s="1" t="s">
        <v>910</v>
      </c>
      <c r="D7" s="1" t="s">
        <v>809</v>
      </c>
      <c r="E7" s="1" t="s">
        <v>294</v>
      </c>
      <c r="F7" s="1" t="s">
        <v>97</v>
      </c>
      <c r="G7" s="1" t="s">
        <v>293</v>
      </c>
      <c r="I7" s="11" t="str">
        <f t="array" ref="I7">_xlfn.XLOOKUP(B7,Tickets!A:A,Tickets!A:A)</f>
        <v>TKT-1772592110294</v>
      </c>
    </row>
    <row r="8">
      <c r="A8" s="1" t="s">
        <v>935</v>
      </c>
      <c r="B8" s="1" t="s">
        <v>290</v>
      </c>
      <c r="C8" s="1" t="s">
        <v>771</v>
      </c>
      <c r="D8" s="1" t="s">
        <v>771</v>
      </c>
      <c r="E8" s="1" t="s">
        <v>936</v>
      </c>
      <c r="G8" s="1" t="s">
        <v>295</v>
      </c>
      <c r="I8" s="11" t="str">
        <f t="array" ref="I8">_xlfn.XLOOKUP(B8,Tickets!A:A,Tickets!A:A)</f>
        <v>TKT-1772592110294</v>
      </c>
    </row>
    <row r="9">
      <c r="A9" s="1" t="s">
        <v>938</v>
      </c>
      <c r="B9" s="1" t="s">
        <v>282</v>
      </c>
      <c r="C9" s="1" t="s">
        <v>771</v>
      </c>
      <c r="D9" s="1" t="s">
        <v>771</v>
      </c>
      <c r="E9" s="1" t="s">
        <v>939</v>
      </c>
      <c r="I9" s="11" t="str">
        <f t="array" ref="I9">_xlfn.XLOOKUP(B9,Tickets!A:A,Tickets!A:A)</f>
        <v>TKT-1772507237246</v>
      </c>
    </row>
    <row r="10">
      <c r="A10" s="1" t="s">
        <v>940</v>
      </c>
      <c r="B10" s="1" t="s">
        <v>297</v>
      </c>
      <c r="C10" s="1" t="s">
        <v>910</v>
      </c>
      <c r="D10" s="1" t="s">
        <v>809</v>
      </c>
      <c r="E10" s="1" t="s">
        <v>301</v>
      </c>
      <c r="F10" s="1" t="s">
        <v>62</v>
      </c>
      <c r="G10" s="1" t="s">
        <v>300</v>
      </c>
      <c r="I10" s="11" t="str">
        <f t="array" ref="I10">_xlfn.XLOOKUP(B10,Tickets!A:A,Tickets!A:A)</f>
        <v>TKT-1773299387291</v>
      </c>
    </row>
    <row r="11">
      <c r="A11" s="1" t="s">
        <v>951</v>
      </c>
      <c r="B11" s="1" t="s">
        <v>297</v>
      </c>
      <c r="C11" s="1" t="s">
        <v>771</v>
      </c>
      <c r="D11" s="1" t="s">
        <v>771</v>
      </c>
      <c r="E11" s="1" t="s">
        <v>953</v>
      </c>
      <c r="I11" s="11" t="str">
        <f t="array" ref="I11">_xlfn.XLOOKUP(B11,Tickets!A:A,Tickets!A:A)</f>
        <v>TKT-1773299387291</v>
      </c>
    </row>
    <row r="12">
      <c r="A12" s="1" t="s">
        <v>960</v>
      </c>
      <c r="B12" s="1" t="s">
        <v>303</v>
      </c>
      <c r="C12" s="1" t="s">
        <v>910</v>
      </c>
      <c r="D12" s="1" t="s">
        <v>809</v>
      </c>
      <c r="E12" s="1" t="s">
        <v>308</v>
      </c>
      <c r="F12" s="1" t="s">
        <v>40</v>
      </c>
      <c r="G12" s="1" t="s">
        <v>307</v>
      </c>
      <c r="I12" s="11" t="str">
        <f t="array" ref="I12">_xlfn.XLOOKUP(B12,Tickets!A:A,Tickets!A:A)</f>
        <v>TKT-1773652078809</v>
      </c>
    </row>
    <row r="13">
      <c r="A13" s="1" t="s">
        <v>963</v>
      </c>
      <c r="B13" s="1" t="s">
        <v>303</v>
      </c>
      <c r="C13" s="1" t="s">
        <v>771</v>
      </c>
      <c r="D13" s="1" t="s">
        <v>771</v>
      </c>
      <c r="E13" s="1" t="s">
        <v>965</v>
      </c>
      <c r="F13" s="1" t="s">
        <v>62</v>
      </c>
      <c r="H13" s="1" t="s">
        <v>215</v>
      </c>
      <c r="I13" s="11" t="str">
        <f t="array" ref="I13">_xlfn.XLOOKUP(B13,Tickets!A:A,Tickets!A:A)</f>
        <v>TKT-1773652078809</v>
      </c>
    </row>
    <row r="14">
      <c r="A14" s="1" t="s">
        <v>967</v>
      </c>
      <c r="B14" s="1" t="s">
        <v>310</v>
      </c>
      <c r="C14" s="1" t="s">
        <v>910</v>
      </c>
      <c r="D14" s="1" t="s">
        <v>809</v>
      </c>
      <c r="E14" s="1" t="s">
        <v>312</v>
      </c>
      <c r="F14" s="1" t="s">
        <v>62</v>
      </c>
      <c r="G14" s="1" t="s">
        <v>311</v>
      </c>
      <c r="I14" s="11" t="str">
        <f t="array" ref="I14">_xlfn.XLOOKUP(B14,Tickets!A:A,Tickets!A:A)</f>
        <v>TKT-1773722800507</v>
      </c>
    </row>
    <row r="15">
      <c r="A15" s="1" t="s">
        <v>968</v>
      </c>
      <c r="B15" s="1" t="s">
        <v>310</v>
      </c>
      <c r="C15" s="1" t="s">
        <v>771</v>
      </c>
      <c r="D15" s="1" t="s">
        <v>771</v>
      </c>
      <c r="E15" s="1" t="s">
        <v>969</v>
      </c>
      <c r="F15" s="1" t="s">
        <v>62</v>
      </c>
      <c r="H15" s="1" t="s">
        <v>215</v>
      </c>
      <c r="I15" s="11" t="str">
        <f t="array" ref="I15">_xlfn.XLOOKUP(B15,Tickets!A:A,Tickets!A:A)</f>
        <v>TKT-1773722800507</v>
      </c>
    </row>
    <row r="16">
      <c r="A16" s="1" t="s">
        <v>970</v>
      </c>
      <c r="B16" s="1" t="s">
        <v>314</v>
      </c>
      <c r="C16" s="1" t="s">
        <v>910</v>
      </c>
      <c r="D16" s="1" t="s">
        <v>809</v>
      </c>
      <c r="E16" s="1" t="s">
        <v>318</v>
      </c>
      <c r="F16" s="1" t="s">
        <v>62</v>
      </c>
      <c r="G16" s="1" t="s">
        <v>317</v>
      </c>
      <c r="I16" s="11" t="str">
        <f t="array" ref="I16">_xlfn.XLOOKUP(B16,Tickets!A:A,Tickets!A:A)</f>
        <v>TKT-1773723473614</v>
      </c>
    </row>
    <row r="17">
      <c r="A17" s="1" t="s">
        <v>971</v>
      </c>
      <c r="B17" s="1" t="s">
        <v>282</v>
      </c>
      <c r="C17" s="1" t="s">
        <v>280</v>
      </c>
      <c r="D17" s="1" t="s">
        <v>280</v>
      </c>
      <c r="E17" s="1" t="s">
        <v>972</v>
      </c>
      <c r="F17" s="1" t="s">
        <v>82</v>
      </c>
      <c r="H17" s="1" t="s">
        <v>925</v>
      </c>
      <c r="I17" s="11" t="str">
        <f t="array" ref="I17">_xlfn.XLOOKUP(B17,Tickets!A:A,Tickets!A:A)</f>
        <v>TKT-1772507237246</v>
      </c>
    </row>
    <row r="18">
      <c r="A18" s="1" t="s">
        <v>973</v>
      </c>
      <c r="B18" s="1" t="s">
        <v>290</v>
      </c>
      <c r="C18" s="1" t="s">
        <v>280</v>
      </c>
      <c r="D18" s="1" t="s">
        <v>280</v>
      </c>
      <c r="E18" s="1" t="s">
        <v>974</v>
      </c>
      <c r="F18" s="1" t="s">
        <v>82</v>
      </c>
      <c r="H18" s="1" t="s">
        <v>925</v>
      </c>
      <c r="I18" s="11" t="str">
        <f t="array" ref="I18">_xlfn.XLOOKUP(B18,Tickets!A:A,Tickets!A:A)</f>
        <v>TKT-1772592110294</v>
      </c>
    </row>
    <row r="19">
      <c r="A19" s="1" t="s">
        <v>975</v>
      </c>
      <c r="B19" s="1" t="s">
        <v>297</v>
      </c>
      <c r="C19" s="1" t="s">
        <v>280</v>
      </c>
      <c r="D19" s="1" t="s">
        <v>280</v>
      </c>
      <c r="E19" s="1" t="s">
        <v>976</v>
      </c>
      <c r="F19" s="1" t="s">
        <v>82</v>
      </c>
      <c r="H19" s="1" t="s">
        <v>925</v>
      </c>
      <c r="I19" s="11" t="str">
        <f t="array" ref="I19">_xlfn.XLOOKUP(B19,Tickets!A:A,Tickets!A:A)</f>
        <v>TKT-1773299387291</v>
      </c>
    </row>
    <row r="20">
      <c r="A20" s="1" t="s">
        <v>977</v>
      </c>
      <c r="B20" s="1" t="s">
        <v>303</v>
      </c>
      <c r="C20" s="1" t="s">
        <v>280</v>
      </c>
      <c r="D20" s="1" t="s">
        <v>280</v>
      </c>
      <c r="E20" s="1" t="s">
        <v>978</v>
      </c>
      <c r="F20" s="1" t="s">
        <v>82</v>
      </c>
      <c r="H20" s="1" t="s">
        <v>925</v>
      </c>
      <c r="I20" s="11" t="str">
        <f t="array" ref="I20">_xlfn.XLOOKUP(B20,Tickets!A:A,Tickets!A:A)</f>
        <v>TKT-1773652078809</v>
      </c>
    </row>
    <row r="21">
      <c r="A21" s="1" t="s">
        <v>979</v>
      </c>
      <c r="B21" s="1" t="s">
        <v>310</v>
      </c>
      <c r="C21" s="1" t="s">
        <v>280</v>
      </c>
      <c r="D21" s="1" t="s">
        <v>280</v>
      </c>
      <c r="E21" s="1" t="s">
        <v>980</v>
      </c>
      <c r="F21" s="1" t="s">
        <v>82</v>
      </c>
      <c r="H21" s="1" t="s">
        <v>925</v>
      </c>
      <c r="I21" s="11" t="str">
        <f t="array" ref="I21">_xlfn.XLOOKUP(B21,Tickets!A:A,Tickets!A:A)</f>
        <v>TKT-1773722800507</v>
      </c>
    </row>
    <row r="22">
      <c r="A22" s="1" t="s">
        <v>981</v>
      </c>
      <c r="B22" s="1" t="s">
        <v>314</v>
      </c>
      <c r="C22" s="1" t="s">
        <v>771</v>
      </c>
      <c r="D22" s="1" t="s">
        <v>771</v>
      </c>
      <c r="E22" s="1" t="s">
        <v>983</v>
      </c>
      <c r="F22" s="1" t="s">
        <v>62</v>
      </c>
      <c r="H22" s="1" t="s">
        <v>215</v>
      </c>
      <c r="I22" s="11" t="str">
        <f t="array" ref="I22">_xlfn.XLOOKUP(B22,Tickets!A:A,Tickets!A:A)</f>
        <v>TKT-1773723473614</v>
      </c>
    </row>
    <row r="23">
      <c r="A23" s="1" t="s">
        <v>984</v>
      </c>
      <c r="B23" s="1" t="s">
        <v>314</v>
      </c>
      <c r="C23" s="1" t="s">
        <v>280</v>
      </c>
      <c r="D23" s="1" t="s">
        <v>280</v>
      </c>
      <c r="E23" s="1" t="s">
        <v>985</v>
      </c>
      <c r="F23" s="1" t="s">
        <v>82</v>
      </c>
      <c r="H23" s="1" t="s">
        <v>925</v>
      </c>
      <c r="I23" s="11" t="str">
        <f t="array" ref="I23">_xlfn.XLOOKUP(B23,Tickets!A:A,Tickets!A:A)</f>
        <v>TKT-1773723473614</v>
      </c>
    </row>
    <row r="24">
      <c r="A24" s="1" t="s">
        <v>986</v>
      </c>
      <c r="B24" s="1" t="s">
        <v>320</v>
      </c>
      <c r="C24" s="1" t="s">
        <v>910</v>
      </c>
      <c r="D24" s="1" t="s">
        <v>809</v>
      </c>
      <c r="E24" s="1" t="s">
        <v>328</v>
      </c>
      <c r="F24" s="1" t="s">
        <v>62</v>
      </c>
      <c r="G24" s="1" t="s">
        <v>327</v>
      </c>
      <c r="I24" s="11" t="str">
        <f t="array" ref="I24">_xlfn.XLOOKUP(B24,Tickets!A:A,Tickets!A:A)</f>
        <v>TKT-1774339252579</v>
      </c>
    </row>
    <row r="25">
      <c r="A25" s="1" t="s">
        <v>987</v>
      </c>
      <c r="B25" s="1" t="s">
        <v>320</v>
      </c>
      <c r="C25" s="1" t="s">
        <v>771</v>
      </c>
      <c r="D25" s="1" t="s">
        <v>771</v>
      </c>
      <c r="E25" s="1" t="s">
        <v>988</v>
      </c>
      <c r="F25" s="1" t="s">
        <v>62</v>
      </c>
      <c r="H25" s="1" t="s">
        <v>215</v>
      </c>
      <c r="I25" s="11" t="str">
        <f t="array" ref="I25">_xlfn.XLOOKUP(B25,Tickets!A:A,Tickets!A:A)</f>
        <v>TKT-1774339252579</v>
      </c>
    </row>
    <row r="26">
      <c r="A26" s="1" t="s">
        <v>989</v>
      </c>
      <c r="B26" s="1" t="s">
        <v>260</v>
      </c>
      <c r="C26" s="1" t="s">
        <v>280</v>
      </c>
      <c r="D26" s="1" t="s">
        <v>280</v>
      </c>
      <c r="E26" s="1" t="s">
        <v>278</v>
      </c>
      <c r="F26" s="1" t="s">
        <v>89</v>
      </c>
      <c r="H26" s="1" t="s">
        <v>990</v>
      </c>
      <c r="I26" s="11" t="str">
        <f t="array" ref="I26">_xlfn.XLOOKUP(B26,Tickets!A:A,Tickets!A:A)</f>
        <v>TKT-1771577788359</v>
      </c>
    </row>
    <row r="27">
      <c r="A27" s="1" t="s">
        <v>991</v>
      </c>
      <c r="B27" s="1" t="s">
        <v>282</v>
      </c>
      <c r="C27" s="1" t="s">
        <v>280</v>
      </c>
      <c r="D27" s="1" t="s">
        <v>280</v>
      </c>
      <c r="E27" s="1" t="s">
        <v>289</v>
      </c>
      <c r="F27" s="1" t="s">
        <v>89</v>
      </c>
      <c r="H27" s="1" t="s">
        <v>990</v>
      </c>
      <c r="I27" s="11" t="str">
        <f t="array" ref="I27">_xlfn.XLOOKUP(B27,Tickets!A:A,Tickets!A:A)</f>
        <v>TKT-1772507237246</v>
      </c>
    </row>
    <row r="28">
      <c r="A28" s="1" t="s">
        <v>992</v>
      </c>
      <c r="B28" s="1" t="s">
        <v>290</v>
      </c>
      <c r="C28" s="1" t="s">
        <v>280</v>
      </c>
      <c r="D28" s="1" t="s">
        <v>280</v>
      </c>
      <c r="E28" s="1" t="s">
        <v>296</v>
      </c>
      <c r="F28" s="1" t="s">
        <v>89</v>
      </c>
      <c r="H28" s="1" t="s">
        <v>990</v>
      </c>
      <c r="I28" s="11" t="str">
        <f t="array" ref="I28">_xlfn.XLOOKUP(B28,Tickets!A:A,Tickets!A:A)</f>
        <v>TKT-1772592110294</v>
      </c>
    </row>
    <row r="29">
      <c r="A29" s="1" t="s">
        <v>993</v>
      </c>
      <c r="B29" s="1" t="s">
        <v>297</v>
      </c>
      <c r="C29" s="1" t="s">
        <v>280</v>
      </c>
      <c r="D29" s="1" t="s">
        <v>280</v>
      </c>
      <c r="E29" s="1" t="s">
        <v>302</v>
      </c>
      <c r="F29" s="1" t="s">
        <v>89</v>
      </c>
      <c r="H29" s="1" t="s">
        <v>990</v>
      </c>
      <c r="I29" s="11" t="str">
        <f t="array" ref="I29">_xlfn.XLOOKUP(B29,Tickets!A:A,Tickets!A:A)</f>
        <v>TKT-1773299387291</v>
      </c>
    </row>
    <row r="30">
      <c r="A30" s="1" t="s">
        <v>994</v>
      </c>
      <c r="B30" s="1" t="s">
        <v>303</v>
      </c>
      <c r="C30" s="1" t="s">
        <v>280</v>
      </c>
      <c r="D30" s="1" t="s">
        <v>280</v>
      </c>
      <c r="E30" s="1" t="s">
        <v>309</v>
      </c>
      <c r="F30" s="1" t="s">
        <v>89</v>
      </c>
      <c r="H30" s="1" t="s">
        <v>990</v>
      </c>
      <c r="I30" s="11" t="str">
        <f t="array" ref="I30">_xlfn.XLOOKUP(B30,Tickets!A:A,Tickets!A:A)</f>
        <v>TKT-1773652078809</v>
      </c>
    </row>
    <row r="31">
      <c r="A31" s="1" t="s">
        <v>995</v>
      </c>
      <c r="B31" s="1" t="s">
        <v>310</v>
      </c>
      <c r="C31" s="1" t="s">
        <v>280</v>
      </c>
      <c r="D31" s="1" t="s">
        <v>280</v>
      </c>
      <c r="E31" s="1" t="s">
        <v>313</v>
      </c>
      <c r="F31" s="1" t="s">
        <v>89</v>
      </c>
      <c r="H31" s="1" t="s">
        <v>990</v>
      </c>
      <c r="I31" s="11" t="str">
        <f t="array" ref="I31">_xlfn.XLOOKUP(B31,Tickets!A:A,Tickets!A:A)</f>
        <v>TKT-1773722800507</v>
      </c>
    </row>
    <row r="32">
      <c r="A32" s="1" t="s">
        <v>996</v>
      </c>
      <c r="B32" s="1" t="s">
        <v>314</v>
      </c>
      <c r="C32" s="1" t="s">
        <v>280</v>
      </c>
      <c r="D32" s="1" t="s">
        <v>280</v>
      </c>
      <c r="E32" s="1" t="s">
        <v>319</v>
      </c>
      <c r="F32" s="1" t="s">
        <v>89</v>
      </c>
      <c r="H32" s="1" t="s">
        <v>990</v>
      </c>
      <c r="I32" s="11" t="str">
        <f t="array" ref="I32">_xlfn.XLOOKUP(B32,Tickets!A:A,Tickets!A:A)</f>
        <v>TKT-1773723473614</v>
      </c>
    </row>
    <row r="33">
      <c r="A33" s="1" t="s">
        <v>997</v>
      </c>
      <c r="B33" s="1" t="s">
        <v>320</v>
      </c>
      <c r="C33" s="1" t="s">
        <v>280</v>
      </c>
      <c r="D33" s="1" t="s">
        <v>280</v>
      </c>
      <c r="E33" s="1" t="s">
        <v>998</v>
      </c>
      <c r="F33" s="1" t="s">
        <v>82</v>
      </c>
      <c r="H33" s="1" t="s">
        <v>925</v>
      </c>
      <c r="I33" s="11" t="str">
        <f t="array" ref="I33">_xlfn.XLOOKUP(B33,Tickets!A:A,Tickets!A:A)</f>
        <v>TKT-1774339252579</v>
      </c>
    </row>
    <row r="34">
      <c r="A34" s="1" t="s">
        <v>999</v>
      </c>
      <c r="B34" s="1" t="s">
        <v>330</v>
      </c>
      <c r="C34" s="1" t="s">
        <v>910</v>
      </c>
      <c r="D34" s="1" t="s">
        <v>809</v>
      </c>
      <c r="E34" s="1" t="s">
        <v>335</v>
      </c>
      <c r="F34" s="1" t="s">
        <v>50</v>
      </c>
      <c r="G34" s="1" t="s">
        <v>1000</v>
      </c>
      <c r="I34" s="11" t="str">
        <f t="array" ref="I34">_xlfn.XLOOKUP(B34,Tickets!A:A,Tickets!A:A)</f>
        <v>TKT-1774431236031</v>
      </c>
    </row>
    <row r="35">
      <c r="A35" s="1" t="s">
        <v>1001</v>
      </c>
      <c r="B35" s="1" t="s">
        <v>320</v>
      </c>
      <c r="C35" s="1" t="s">
        <v>280</v>
      </c>
      <c r="D35" s="1" t="s">
        <v>280</v>
      </c>
      <c r="E35" s="1" t="s">
        <v>329</v>
      </c>
      <c r="F35" s="1" t="s">
        <v>89</v>
      </c>
      <c r="H35" s="1" t="s">
        <v>990</v>
      </c>
      <c r="I35" s="11" t="str">
        <f t="array" ref="I35">_xlfn.XLOOKUP(B35,Tickets!A:A,Tickets!A:A)</f>
        <v>TKT-1774339252579</v>
      </c>
    </row>
    <row r="36">
      <c r="A36" s="1" t="s">
        <v>1002</v>
      </c>
      <c r="B36" s="1" t="s">
        <v>330</v>
      </c>
      <c r="C36" s="1" t="s">
        <v>771</v>
      </c>
      <c r="D36" s="1" t="s">
        <v>771</v>
      </c>
      <c r="E36" s="1" t="s">
        <v>1003</v>
      </c>
      <c r="F36" s="1" t="s">
        <v>62</v>
      </c>
      <c r="G36" s="1" t="s">
        <v>336</v>
      </c>
      <c r="H36" s="1" t="s">
        <v>215</v>
      </c>
      <c r="I36" s="11" t="str">
        <f t="array" ref="I36">_xlfn.XLOOKUP(B36,Tickets!A:A,Tickets!A:A)</f>
        <v>TKT-1774431236031</v>
      </c>
    </row>
    <row r="37">
      <c r="A37" s="1" t="s">
        <v>1004</v>
      </c>
      <c r="B37" s="1" t="s">
        <v>330</v>
      </c>
      <c r="C37" s="1" t="s">
        <v>280</v>
      </c>
      <c r="D37" s="1" t="s">
        <v>280</v>
      </c>
      <c r="E37" s="1" t="s">
        <v>1005</v>
      </c>
      <c r="F37" s="1" t="s">
        <v>82</v>
      </c>
      <c r="H37" s="1" t="s">
        <v>925</v>
      </c>
      <c r="I37" s="11" t="str">
        <f t="array" ref="I37">_xlfn.XLOOKUP(B37,Tickets!A:A,Tickets!A:A)</f>
        <v>TKT-1774431236031</v>
      </c>
    </row>
    <row r="38">
      <c r="A38" s="1" t="s">
        <v>1006</v>
      </c>
      <c r="B38" s="1" t="s">
        <v>338</v>
      </c>
      <c r="C38" s="1" t="s">
        <v>910</v>
      </c>
      <c r="D38" s="1" t="s">
        <v>809</v>
      </c>
      <c r="E38" s="1" t="s">
        <v>343</v>
      </c>
      <c r="F38" s="1" t="s">
        <v>97</v>
      </c>
      <c r="G38" s="1" t="s">
        <v>342</v>
      </c>
      <c r="I38" s="11" t="str">
        <f t="array" ref="I38">_xlfn.XLOOKUP(B38,Tickets!A:A,Tickets!A:A)</f>
        <v>TKT-1774519787325</v>
      </c>
    </row>
    <row r="39">
      <c r="A39" s="1" t="s">
        <v>1007</v>
      </c>
      <c r="B39" s="1" t="s">
        <v>346</v>
      </c>
      <c r="C39" s="1" t="s">
        <v>910</v>
      </c>
      <c r="D39" s="1" t="s">
        <v>809</v>
      </c>
      <c r="E39" s="1" t="s">
        <v>351</v>
      </c>
      <c r="F39" s="1" t="s">
        <v>97</v>
      </c>
      <c r="G39" s="1" t="s">
        <v>350</v>
      </c>
      <c r="I39" s="11" t="str">
        <f t="array" ref="I39">_xlfn.XLOOKUP(B39,Tickets!A:A,Tickets!A:A)</f>
        <v>TKT-1774519858761</v>
      </c>
    </row>
    <row r="40">
      <c r="A40" s="1" t="s">
        <v>1008</v>
      </c>
      <c r="B40" s="1" t="s">
        <v>338</v>
      </c>
      <c r="C40" s="1" t="s">
        <v>771</v>
      </c>
      <c r="D40" s="1" t="s">
        <v>771</v>
      </c>
      <c r="E40" s="1" t="s">
        <v>1009</v>
      </c>
      <c r="F40" s="1" t="s">
        <v>62</v>
      </c>
      <c r="G40" s="1" t="s">
        <v>344</v>
      </c>
      <c r="H40" s="1" t="s">
        <v>215</v>
      </c>
      <c r="I40" s="11" t="str">
        <f t="array" ref="I40">_xlfn.XLOOKUP(B40,Tickets!A:A,Tickets!A:A)</f>
        <v>TKT-1774519787325</v>
      </c>
    </row>
    <row r="41">
      <c r="A41" s="1" t="s">
        <v>1010</v>
      </c>
      <c r="B41" s="1" t="s">
        <v>338</v>
      </c>
      <c r="C41" s="1" t="s">
        <v>280</v>
      </c>
      <c r="D41" s="1" t="s">
        <v>280</v>
      </c>
      <c r="E41" s="1" t="s">
        <v>1011</v>
      </c>
      <c r="F41" s="1" t="s">
        <v>82</v>
      </c>
      <c r="H41" s="1" t="s">
        <v>925</v>
      </c>
      <c r="I41" s="11" t="str">
        <f t="array" ref="I41">_xlfn.XLOOKUP(B41,Tickets!A:A,Tickets!A:A)</f>
        <v>TKT-1774519787325</v>
      </c>
    </row>
    <row r="42">
      <c r="A42" s="1" t="s">
        <v>1012</v>
      </c>
      <c r="B42" s="1" t="s">
        <v>330</v>
      </c>
      <c r="C42" s="1" t="s">
        <v>280</v>
      </c>
      <c r="D42" s="1" t="s">
        <v>280</v>
      </c>
      <c r="E42" s="1" t="s">
        <v>337</v>
      </c>
      <c r="F42" s="1" t="s">
        <v>89</v>
      </c>
      <c r="H42" s="1" t="s">
        <v>990</v>
      </c>
      <c r="I42" s="11" t="str">
        <f t="array" ref="I42">_xlfn.XLOOKUP(B42,Tickets!A:A,Tickets!A:A)</f>
        <v>TKT-1774431236031</v>
      </c>
    </row>
    <row r="43">
      <c r="A43" s="1" t="s">
        <v>1013</v>
      </c>
      <c r="B43" s="1" t="s">
        <v>338</v>
      </c>
      <c r="C43" s="1" t="s">
        <v>280</v>
      </c>
      <c r="D43" s="1" t="s">
        <v>280</v>
      </c>
      <c r="E43" s="1" t="s">
        <v>345</v>
      </c>
      <c r="F43" s="1" t="s">
        <v>89</v>
      </c>
      <c r="H43" s="1" t="s">
        <v>990</v>
      </c>
      <c r="I43" s="11" t="str">
        <f t="array" ref="I43">_xlfn.XLOOKUP(B43,Tickets!A:A,Tickets!A:A)</f>
        <v>TKT-1774519787325</v>
      </c>
    </row>
    <row r="44">
      <c r="A44" s="1" t="s">
        <v>1014</v>
      </c>
      <c r="B44" s="1" t="s">
        <v>346</v>
      </c>
      <c r="C44" s="1" t="s">
        <v>771</v>
      </c>
      <c r="D44" s="1" t="s">
        <v>771</v>
      </c>
      <c r="E44" s="1" t="s">
        <v>1015</v>
      </c>
      <c r="F44" s="1" t="s">
        <v>62</v>
      </c>
      <c r="H44" s="1" t="s">
        <v>215</v>
      </c>
      <c r="I44" s="11" t="str">
        <f t="array" ref="I44">_xlfn.XLOOKUP(B44,Tickets!A:A,Tickets!A:A)</f>
        <v>TKT-1774519858761</v>
      </c>
    </row>
    <row r="45">
      <c r="A45" s="1" t="s">
        <v>1016</v>
      </c>
      <c r="B45" s="1" t="s">
        <v>346</v>
      </c>
      <c r="C45" s="1" t="s">
        <v>280</v>
      </c>
      <c r="D45" s="1" t="s">
        <v>280</v>
      </c>
      <c r="E45" s="1" t="s">
        <v>1017</v>
      </c>
      <c r="F45" s="1" t="s">
        <v>82</v>
      </c>
      <c r="H45" s="1" t="s">
        <v>925</v>
      </c>
      <c r="I45" s="11" t="str">
        <f t="array" ref="I45">_xlfn.XLOOKUP(B45,Tickets!A:A,Tickets!A:A)</f>
        <v>TKT-1774519858761</v>
      </c>
    </row>
    <row r="46">
      <c r="A46" s="1" t="s">
        <v>1018</v>
      </c>
      <c r="B46" s="1" t="s">
        <v>346</v>
      </c>
      <c r="C46" s="1" t="s">
        <v>280</v>
      </c>
      <c r="D46" s="1" t="s">
        <v>280</v>
      </c>
      <c r="E46" s="1" t="s">
        <v>352</v>
      </c>
      <c r="F46" s="1" t="s">
        <v>89</v>
      </c>
      <c r="H46" s="1" t="s">
        <v>990</v>
      </c>
      <c r="I46" s="11" t="str">
        <f t="array" ref="I46">_xlfn.XLOOKUP(B46,Tickets!A:A,Tickets!A:A)</f>
        <v>TKT-1774519858761</v>
      </c>
    </row>
    <row r="47">
      <c r="A47" s="1" t="s">
        <v>1019</v>
      </c>
      <c r="B47" s="1" t="s">
        <v>355</v>
      </c>
      <c r="C47" s="1" t="s">
        <v>910</v>
      </c>
      <c r="D47" s="1" t="s">
        <v>809</v>
      </c>
      <c r="E47" s="1" t="s">
        <v>358</v>
      </c>
      <c r="F47" s="1" t="s">
        <v>69</v>
      </c>
      <c r="G47" s="1" t="s">
        <v>357</v>
      </c>
      <c r="I47" s="11" t="str">
        <f t="array" ref="I47">_xlfn.XLOOKUP(B47,Tickets!A:A,Tickets!A:A)</f>
        <v>TKT-1775030802941</v>
      </c>
    </row>
    <row r="48">
      <c r="A48" s="1" t="s">
        <v>1020</v>
      </c>
      <c r="B48" s="1" t="s">
        <v>364</v>
      </c>
      <c r="C48" s="1" t="s">
        <v>910</v>
      </c>
      <c r="D48" s="1" t="s">
        <v>809</v>
      </c>
      <c r="E48" s="1" t="s">
        <v>366</v>
      </c>
      <c r="F48" s="1" t="s">
        <v>69</v>
      </c>
      <c r="G48" s="1" t="s">
        <v>365</v>
      </c>
      <c r="I48" s="11" t="str">
        <f t="array" ref="I48">_xlfn.XLOOKUP(B48,Tickets!A:A,Tickets!A:A)</f>
        <v>TKT-1775031095824</v>
      </c>
    </row>
    <row r="49">
      <c r="A49" s="1" t="s">
        <v>1021</v>
      </c>
      <c r="B49" s="1" t="s">
        <v>355</v>
      </c>
      <c r="C49" s="1" t="s">
        <v>771</v>
      </c>
      <c r="D49" s="1" t="s">
        <v>771</v>
      </c>
      <c r="E49" s="1" t="s">
        <v>1022</v>
      </c>
      <c r="F49" s="1" t="s">
        <v>62</v>
      </c>
      <c r="H49" s="1" t="s">
        <v>215</v>
      </c>
      <c r="I49" s="11" t="str">
        <f t="array" ref="I49">_xlfn.XLOOKUP(B49,Tickets!A:A,Tickets!A:A)</f>
        <v>TKT-1775030802941</v>
      </c>
    </row>
    <row r="50">
      <c r="A50" s="1" t="s">
        <v>1023</v>
      </c>
      <c r="B50" s="1" t="s">
        <v>364</v>
      </c>
      <c r="C50" s="1" t="s">
        <v>771</v>
      </c>
      <c r="D50" s="1" t="s">
        <v>771</v>
      </c>
      <c r="E50" s="1" t="s">
        <v>1024</v>
      </c>
      <c r="F50" s="1" t="s">
        <v>62</v>
      </c>
      <c r="H50" s="1" t="s">
        <v>215</v>
      </c>
      <c r="I50" s="11" t="str">
        <f t="array" ref="I50">_xlfn.XLOOKUP(B50,Tickets!A:A,Tickets!A:A)</f>
        <v>TKT-1775031095824</v>
      </c>
    </row>
    <row r="51">
      <c r="A51" s="1" t="s">
        <v>1025</v>
      </c>
      <c r="B51" s="1" t="s">
        <v>355</v>
      </c>
      <c r="C51" s="1" t="s">
        <v>280</v>
      </c>
      <c r="D51" s="1" t="s">
        <v>280</v>
      </c>
      <c r="E51" s="1" t="s">
        <v>1026</v>
      </c>
      <c r="F51" s="1" t="s">
        <v>82</v>
      </c>
      <c r="G51" s="1" t="s">
        <v>359</v>
      </c>
      <c r="H51" s="1" t="s">
        <v>925</v>
      </c>
      <c r="I51" s="11" t="str">
        <f t="array" ref="I51">_xlfn.XLOOKUP(B51,Tickets!A:A,Tickets!A:A)</f>
        <v>TKT-1775030802941</v>
      </c>
    </row>
    <row r="52">
      <c r="A52" s="1" t="s">
        <v>1027</v>
      </c>
      <c r="B52" s="1" t="s">
        <v>364</v>
      </c>
      <c r="C52" s="1" t="s">
        <v>280</v>
      </c>
      <c r="D52" s="1" t="s">
        <v>280</v>
      </c>
      <c r="E52" s="1" t="s">
        <v>1028</v>
      </c>
      <c r="F52" s="1" t="s">
        <v>82</v>
      </c>
      <c r="G52" s="1" t="s">
        <v>359</v>
      </c>
      <c r="H52" s="1" t="s">
        <v>925</v>
      </c>
      <c r="I52" s="11" t="str">
        <f t="array" ref="I52">_xlfn.XLOOKUP(B52,Tickets!A:A,Tickets!A:A)</f>
        <v>TKT-1775031095824</v>
      </c>
    </row>
    <row r="53">
      <c r="A53" s="1" t="s">
        <v>1029</v>
      </c>
      <c r="B53" s="1" t="s">
        <v>355</v>
      </c>
      <c r="C53" s="1" t="s">
        <v>280</v>
      </c>
      <c r="D53" s="1" t="s">
        <v>280</v>
      </c>
      <c r="E53" s="1" t="s">
        <v>361</v>
      </c>
      <c r="F53" s="1" t="s">
        <v>89</v>
      </c>
      <c r="H53" s="1" t="s">
        <v>990</v>
      </c>
      <c r="I53" s="11" t="str">
        <f t="array" ref="I53">_xlfn.XLOOKUP(B53,Tickets!A:A,Tickets!A:A)</f>
        <v>TKT-1775030802941</v>
      </c>
    </row>
    <row r="54">
      <c r="A54" s="1" t="s">
        <v>1030</v>
      </c>
      <c r="B54" s="1" t="s">
        <v>364</v>
      </c>
      <c r="C54" s="1" t="s">
        <v>280</v>
      </c>
      <c r="D54" s="1" t="s">
        <v>280</v>
      </c>
      <c r="E54" s="1" t="s">
        <v>368</v>
      </c>
      <c r="F54" s="1" t="s">
        <v>89</v>
      </c>
      <c r="H54" s="1" t="s">
        <v>990</v>
      </c>
      <c r="I54" s="11" t="str">
        <f t="array" ref="I54">_xlfn.XLOOKUP(B54,Tickets!A:A,Tickets!A:A)</f>
        <v>TKT-1775031095824</v>
      </c>
    </row>
    <row r="55">
      <c r="A55" s="1" t="s">
        <v>1031</v>
      </c>
      <c r="B55" s="1" t="s">
        <v>371</v>
      </c>
      <c r="C55" s="1" t="s">
        <v>910</v>
      </c>
      <c r="D55" s="1" t="s">
        <v>809</v>
      </c>
      <c r="E55" s="1" t="s">
        <v>373</v>
      </c>
      <c r="F55" s="1" t="s">
        <v>62</v>
      </c>
      <c r="G55" s="1" t="s">
        <v>372</v>
      </c>
      <c r="I55" s="11" t="str">
        <f t="array" ref="I55">_xlfn.XLOOKUP(B55,Tickets!A:A,Tickets!A:A)</f>
        <v>TKT-1775100401216</v>
      </c>
    </row>
    <row r="56">
      <c r="A56" s="1" t="s">
        <v>1032</v>
      </c>
      <c r="B56" s="1" t="s">
        <v>371</v>
      </c>
      <c r="C56" s="1" t="s">
        <v>771</v>
      </c>
      <c r="D56" s="1" t="s">
        <v>771</v>
      </c>
      <c r="E56" s="1" t="s">
        <v>1033</v>
      </c>
      <c r="F56" s="1" t="s">
        <v>62</v>
      </c>
      <c r="G56" s="1" t="s">
        <v>374</v>
      </c>
      <c r="H56" s="1" t="s">
        <v>215</v>
      </c>
      <c r="I56" s="11" t="str">
        <f t="array" ref="I56">_xlfn.XLOOKUP(B56,Tickets!A:A,Tickets!A:A)</f>
        <v>TKT-1775100401216</v>
      </c>
    </row>
    <row r="57">
      <c r="A57" s="1" t="s">
        <v>1034</v>
      </c>
      <c r="B57" s="1" t="s">
        <v>379</v>
      </c>
      <c r="C57" s="1" t="s">
        <v>910</v>
      </c>
      <c r="D57" s="1" t="s">
        <v>809</v>
      </c>
      <c r="E57" s="1" t="s">
        <v>381</v>
      </c>
      <c r="F57" s="1" t="s">
        <v>62</v>
      </c>
      <c r="G57" s="1" t="s">
        <v>380</v>
      </c>
      <c r="I57" s="11" t="str">
        <f t="array" ref="I57">_xlfn.XLOOKUP(B57,Tickets!A:A,Tickets!A:A)</f>
        <v>TKT-1775528099100</v>
      </c>
    </row>
    <row r="58">
      <c r="A58" s="1" t="s">
        <v>1035</v>
      </c>
      <c r="B58" s="1" t="s">
        <v>371</v>
      </c>
      <c r="C58" s="1" t="s">
        <v>280</v>
      </c>
      <c r="D58" s="1" t="s">
        <v>280</v>
      </c>
      <c r="E58" s="1" t="s">
        <v>1036</v>
      </c>
      <c r="F58" s="1" t="s">
        <v>82</v>
      </c>
      <c r="H58" s="1" t="s">
        <v>925</v>
      </c>
      <c r="I58" s="11" t="str">
        <f t="array" ref="I58">_xlfn.XLOOKUP(B58,Tickets!A:A,Tickets!A:A)</f>
        <v>TKT-1775100401216</v>
      </c>
    </row>
    <row r="59">
      <c r="A59" s="1" t="s">
        <v>1037</v>
      </c>
      <c r="B59" s="1" t="s">
        <v>371</v>
      </c>
      <c r="C59" s="1" t="s">
        <v>280</v>
      </c>
      <c r="D59" s="1" t="s">
        <v>280</v>
      </c>
      <c r="E59" s="1" t="s">
        <v>375</v>
      </c>
      <c r="F59" s="1" t="s">
        <v>89</v>
      </c>
      <c r="H59" s="1" t="s">
        <v>990</v>
      </c>
      <c r="I59" s="11" t="str">
        <f t="array" ref="I59">_xlfn.XLOOKUP(B59,Tickets!A:A,Tickets!A:A)</f>
        <v>TKT-1775100401216</v>
      </c>
    </row>
    <row r="60">
      <c r="A60" s="1" t="s">
        <v>1038</v>
      </c>
      <c r="B60" s="1" t="s">
        <v>379</v>
      </c>
      <c r="C60" s="1" t="s">
        <v>771</v>
      </c>
      <c r="D60" s="1" t="s">
        <v>771</v>
      </c>
      <c r="E60" s="1" t="s">
        <v>1039</v>
      </c>
      <c r="F60" s="1" t="s">
        <v>62</v>
      </c>
      <c r="H60" s="1" t="s">
        <v>215</v>
      </c>
      <c r="I60" s="11" t="str">
        <f t="array" ref="I60">_xlfn.XLOOKUP(B60,Tickets!A:A,Tickets!A:A)</f>
        <v>TKT-1775528099100</v>
      </c>
    </row>
    <row r="61">
      <c r="A61" s="1" t="s">
        <v>1040</v>
      </c>
      <c r="B61" s="1" t="s">
        <v>379</v>
      </c>
      <c r="C61" s="1" t="s">
        <v>280</v>
      </c>
      <c r="D61" s="1" t="s">
        <v>280</v>
      </c>
      <c r="E61" s="1" t="s">
        <v>1041</v>
      </c>
      <c r="F61" s="1" t="s">
        <v>82</v>
      </c>
      <c r="H61" s="1" t="s">
        <v>925</v>
      </c>
      <c r="I61" s="11" t="str">
        <f t="array" ref="I61">_xlfn.XLOOKUP(B61,Tickets!A:A,Tickets!A:A)</f>
        <v>TKT-1775528099100</v>
      </c>
    </row>
    <row r="62">
      <c r="A62" s="1" t="s">
        <v>1042</v>
      </c>
      <c r="B62" s="1" t="s">
        <v>386</v>
      </c>
      <c r="C62" s="1" t="s">
        <v>910</v>
      </c>
      <c r="D62" s="1" t="s">
        <v>809</v>
      </c>
      <c r="E62" s="1" t="s">
        <v>392</v>
      </c>
      <c r="F62" s="1" t="s">
        <v>50</v>
      </c>
      <c r="G62" s="1" t="s">
        <v>390</v>
      </c>
      <c r="I62" s="11" t="str">
        <f t="array" ref="I62">_xlfn.XLOOKUP(B62,Tickets!A:A,Tickets!A:A)</f>
        <v>TKT-1775633130238</v>
      </c>
    </row>
    <row r="63">
      <c r="A63" s="1" t="s">
        <v>1043</v>
      </c>
      <c r="B63" s="1" t="s">
        <v>386</v>
      </c>
      <c r="C63" s="1" t="s">
        <v>771</v>
      </c>
      <c r="D63" s="1" t="s">
        <v>771</v>
      </c>
      <c r="E63" s="1" t="s">
        <v>1044</v>
      </c>
      <c r="F63" s="1" t="s">
        <v>62</v>
      </c>
      <c r="G63" s="1" t="s">
        <v>393</v>
      </c>
      <c r="H63" s="1" t="s">
        <v>215</v>
      </c>
      <c r="I63" s="11" t="str">
        <f t="array" ref="I63">_xlfn.XLOOKUP(B63,Tickets!A:A,Tickets!A:A)</f>
        <v>TKT-1775633130238</v>
      </c>
    </row>
    <row r="64">
      <c r="A64" s="1" t="s">
        <v>1045</v>
      </c>
      <c r="B64" s="1" t="s">
        <v>397</v>
      </c>
      <c r="C64" s="1" t="s">
        <v>910</v>
      </c>
      <c r="D64" s="1" t="s">
        <v>809</v>
      </c>
      <c r="E64" s="1" t="s">
        <v>401</v>
      </c>
      <c r="F64" s="1" t="s">
        <v>50</v>
      </c>
      <c r="G64" s="1" t="s">
        <v>390</v>
      </c>
      <c r="I64" s="11" t="str">
        <f t="array" ref="I64">_xlfn.XLOOKUP(B64,Tickets!A:A,Tickets!A:A)</f>
        <v>TKT-1776670121981</v>
      </c>
    </row>
    <row r="65">
      <c r="A65" s="1" t="s">
        <v>1046</v>
      </c>
      <c r="B65" s="1" t="s">
        <v>403</v>
      </c>
      <c r="C65" s="1" t="s">
        <v>910</v>
      </c>
      <c r="D65" s="1" t="s">
        <v>809</v>
      </c>
      <c r="E65" s="1" t="s">
        <v>409</v>
      </c>
      <c r="F65" s="1" t="s">
        <v>62</v>
      </c>
      <c r="G65" s="1" t="s">
        <v>408</v>
      </c>
      <c r="I65" s="11" t="str">
        <f t="array" ref="I65">_xlfn.XLOOKUP(B65,Tickets!A:A,Tickets!A:A)</f>
        <v>TKT-1776671610636</v>
      </c>
    </row>
    <row r="66">
      <c r="A66" s="1" t="s">
        <v>1047</v>
      </c>
      <c r="B66" s="1" t="s">
        <v>411</v>
      </c>
      <c r="C66" s="1" t="s">
        <v>910</v>
      </c>
      <c r="D66" s="1" t="s">
        <v>809</v>
      </c>
      <c r="E66" s="1" t="s">
        <v>415</v>
      </c>
      <c r="F66" s="1" t="s">
        <v>62</v>
      </c>
      <c r="G66" s="1" t="s">
        <v>414</v>
      </c>
      <c r="I66" s="11" t="str">
        <f t="array" ref="I66">_xlfn.XLOOKUP(B66,Tickets!A:A,Tickets!A:A)</f>
        <v>TKT-1776671656947</v>
      </c>
    </row>
    <row r="67">
      <c r="A67" s="1" t="s">
        <v>1048</v>
      </c>
      <c r="B67" s="1" t="s">
        <v>386</v>
      </c>
      <c r="C67" s="1" t="s">
        <v>280</v>
      </c>
      <c r="D67" s="1" t="s">
        <v>280</v>
      </c>
      <c r="E67" s="1" t="s">
        <v>1049</v>
      </c>
      <c r="F67" s="1" t="s">
        <v>82</v>
      </c>
      <c r="H67" s="1" t="s">
        <v>925</v>
      </c>
      <c r="I67" s="11" t="str">
        <f t="array" ref="I67">_xlfn.XLOOKUP(B67,Tickets!A:A,Tickets!A:A)</f>
        <v>TKT-1775633130238</v>
      </c>
    </row>
    <row r="68">
      <c r="A68" s="1" t="s">
        <v>1050</v>
      </c>
      <c r="B68" s="1" t="s">
        <v>379</v>
      </c>
      <c r="C68" s="1" t="s">
        <v>280</v>
      </c>
      <c r="D68" s="1" t="s">
        <v>280</v>
      </c>
      <c r="E68" s="1" t="s">
        <v>382</v>
      </c>
      <c r="F68" s="1" t="s">
        <v>89</v>
      </c>
      <c r="H68" s="1" t="s">
        <v>990</v>
      </c>
      <c r="I68" s="11" t="str">
        <f t="array" ref="I68">_xlfn.XLOOKUP(B68,Tickets!A:A,Tickets!A:A)</f>
        <v>TKT-1775528099100</v>
      </c>
    </row>
    <row r="69">
      <c r="A69" s="1" t="s">
        <v>1051</v>
      </c>
      <c r="B69" s="1" t="s">
        <v>386</v>
      </c>
      <c r="C69" s="1" t="s">
        <v>280</v>
      </c>
      <c r="D69" s="1" t="s">
        <v>280</v>
      </c>
      <c r="E69" s="1" t="s">
        <v>394</v>
      </c>
      <c r="F69" s="1" t="s">
        <v>89</v>
      </c>
      <c r="H69" s="1" t="s">
        <v>990</v>
      </c>
      <c r="I69" s="11" t="str">
        <f t="array" ref="I69">_xlfn.XLOOKUP(B69,Tickets!A:A,Tickets!A:A)</f>
        <v>TKT-1775633130238</v>
      </c>
    </row>
    <row r="70">
      <c r="A70" s="1" t="s">
        <v>1052</v>
      </c>
      <c r="B70" s="1" t="s">
        <v>397</v>
      </c>
      <c r="C70" s="1" t="s">
        <v>771</v>
      </c>
      <c r="D70" s="1" t="s">
        <v>771</v>
      </c>
      <c r="E70" s="1" t="s">
        <v>1053</v>
      </c>
      <c r="F70" s="1" t="s">
        <v>62</v>
      </c>
      <c r="H70" s="1" t="s">
        <v>215</v>
      </c>
      <c r="I70" s="11" t="str">
        <f t="array" ref="I70">_xlfn.XLOOKUP(B70,Tickets!A:A,Tickets!A:A)</f>
        <v>TKT-1776670121981</v>
      </c>
    </row>
    <row r="71">
      <c r="A71" s="1" t="s">
        <v>1054</v>
      </c>
      <c r="B71" s="1" t="s">
        <v>403</v>
      </c>
      <c r="C71" s="1" t="s">
        <v>771</v>
      </c>
      <c r="D71" s="1" t="s">
        <v>771</v>
      </c>
      <c r="E71" s="1" t="s">
        <v>1055</v>
      </c>
      <c r="F71" s="1" t="s">
        <v>62</v>
      </c>
      <c r="H71" s="1" t="s">
        <v>215</v>
      </c>
      <c r="I71" s="11" t="str">
        <f t="array" ref="I71">_xlfn.XLOOKUP(B71,Tickets!A:A,Tickets!A:A)</f>
        <v>TKT-1776671610636</v>
      </c>
    </row>
    <row r="72">
      <c r="A72" s="1" t="s">
        <v>1056</v>
      </c>
      <c r="B72" s="1" t="s">
        <v>411</v>
      </c>
      <c r="C72" s="1" t="s">
        <v>771</v>
      </c>
      <c r="D72" s="1" t="s">
        <v>771</v>
      </c>
      <c r="E72" s="1" t="s">
        <v>1057</v>
      </c>
      <c r="F72" s="1" t="s">
        <v>62</v>
      </c>
      <c r="H72" s="1" t="s">
        <v>215</v>
      </c>
      <c r="I72" s="11" t="str">
        <f t="array" ref="I72">_xlfn.XLOOKUP(B72,Tickets!A:A,Tickets!A:A)</f>
        <v>TKT-1776671656947</v>
      </c>
    </row>
    <row r="73">
      <c r="A73" s="1" t="s">
        <v>1058</v>
      </c>
      <c r="B73" s="1" t="s">
        <v>417</v>
      </c>
      <c r="C73" s="1" t="s">
        <v>910</v>
      </c>
      <c r="D73" s="1" t="s">
        <v>809</v>
      </c>
      <c r="E73" s="1" t="s">
        <v>422</v>
      </c>
      <c r="F73" s="1" t="s">
        <v>62</v>
      </c>
      <c r="G73" s="1" t="s">
        <v>420</v>
      </c>
      <c r="I73" s="11" t="str">
        <f t="array" ref="I73">_xlfn.XLOOKUP(B73,Tickets!A:A,Tickets!A:A)</f>
        <v>TKT-1776756480752</v>
      </c>
    </row>
    <row r="74">
      <c r="A74" s="1" t="s">
        <v>1059</v>
      </c>
      <c r="B74" s="1" t="s">
        <v>417</v>
      </c>
      <c r="C74" s="1" t="s">
        <v>771</v>
      </c>
      <c r="D74" s="1" t="s">
        <v>771</v>
      </c>
      <c r="E74" s="1" t="s">
        <v>1060</v>
      </c>
      <c r="F74" s="1" t="s">
        <v>62</v>
      </c>
      <c r="H74" s="1" t="s">
        <v>215</v>
      </c>
      <c r="I74" s="11" t="str">
        <f t="array" ref="I74">_xlfn.XLOOKUP(B74,Tickets!A:A,Tickets!A:A)</f>
        <v>TKT-1776756480752</v>
      </c>
    </row>
    <row r="75">
      <c r="A75" s="1" t="s">
        <v>1061</v>
      </c>
      <c r="B75" s="1" t="s">
        <v>397</v>
      </c>
      <c r="C75" s="1" t="s">
        <v>280</v>
      </c>
      <c r="D75" s="1" t="s">
        <v>280</v>
      </c>
      <c r="E75" s="1" t="s">
        <v>1062</v>
      </c>
      <c r="F75" s="1" t="s">
        <v>82</v>
      </c>
      <c r="H75" s="1" t="s">
        <v>925</v>
      </c>
      <c r="I75" s="11" t="str">
        <f t="array" ref="I75">_xlfn.XLOOKUP(B75,Tickets!A:A,Tickets!A:A)</f>
        <v>TKT-1776670121981</v>
      </c>
    </row>
    <row r="76">
      <c r="A76" s="1" t="s">
        <v>1063</v>
      </c>
      <c r="B76" s="1" t="s">
        <v>403</v>
      </c>
      <c r="C76" s="1" t="s">
        <v>280</v>
      </c>
      <c r="D76" s="1" t="s">
        <v>280</v>
      </c>
      <c r="E76" s="1" t="s">
        <v>1064</v>
      </c>
      <c r="F76" s="1" t="s">
        <v>82</v>
      </c>
      <c r="H76" s="1" t="s">
        <v>925</v>
      </c>
      <c r="I76" s="11" t="str">
        <f t="array" ref="I76">_xlfn.XLOOKUP(B76,Tickets!A:A,Tickets!A:A)</f>
        <v>TKT-1776671610636</v>
      </c>
    </row>
    <row r="77">
      <c r="A77" s="1" t="s">
        <v>1065</v>
      </c>
      <c r="B77" s="1" t="s">
        <v>411</v>
      </c>
      <c r="C77" s="1" t="s">
        <v>280</v>
      </c>
      <c r="D77" s="1" t="s">
        <v>280</v>
      </c>
      <c r="E77" s="1" t="s">
        <v>1066</v>
      </c>
      <c r="F77" s="1" t="s">
        <v>82</v>
      </c>
      <c r="H77" s="1" t="s">
        <v>925</v>
      </c>
      <c r="I77" s="11" t="str">
        <f t="array" ref="I77">_xlfn.XLOOKUP(B77,Tickets!A:A,Tickets!A:A)</f>
        <v>TKT-1776671656947</v>
      </c>
    </row>
    <row r="78">
      <c r="A78" s="1" t="s">
        <v>1067</v>
      </c>
      <c r="B78" s="1" t="s">
        <v>417</v>
      </c>
      <c r="C78" s="1" t="s">
        <v>280</v>
      </c>
      <c r="D78" s="1" t="s">
        <v>280</v>
      </c>
      <c r="E78" s="1" t="s">
        <v>1068</v>
      </c>
      <c r="F78" s="1" t="s">
        <v>82</v>
      </c>
      <c r="H78" s="1" t="s">
        <v>925</v>
      </c>
      <c r="I78" s="11" t="str">
        <f t="array" ref="I78">_xlfn.XLOOKUP(B78,Tickets!A:A,Tickets!A:A)</f>
        <v>TKT-1776756480752</v>
      </c>
    </row>
    <row r="79">
      <c r="A79" s="1" t="s">
        <v>1069</v>
      </c>
      <c r="B79" s="1" t="s">
        <v>397</v>
      </c>
      <c r="C79" s="1" t="s">
        <v>280</v>
      </c>
      <c r="D79" s="1" t="s">
        <v>280</v>
      </c>
      <c r="E79" s="1" t="s">
        <v>402</v>
      </c>
      <c r="F79" s="1" t="s">
        <v>89</v>
      </c>
      <c r="H79" s="1" t="s">
        <v>990</v>
      </c>
      <c r="I79" s="11" t="str">
        <f t="array" ref="I79">_xlfn.XLOOKUP(B79,Tickets!A:A,Tickets!A:A)</f>
        <v>TKT-1776670121981</v>
      </c>
    </row>
    <row r="80">
      <c r="A80" s="1" t="s">
        <v>1070</v>
      </c>
      <c r="B80" s="1" t="s">
        <v>403</v>
      </c>
      <c r="C80" s="1" t="s">
        <v>280</v>
      </c>
      <c r="D80" s="1" t="s">
        <v>280</v>
      </c>
      <c r="E80" s="1" t="s">
        <v>410</v>
      </c>
      <c r="F80" s="1" t="s">
        <v>89</v>
      </c>
      <c r="H80" s="1" t="s">
        <v>990</v>
      </c>
      <c r="I80" s="11" t="str">
        <f t="array" ref="I80">_xlfn.XLOOKUP(B80,Tickets!A:A,Tickets!A:A)</f>
        <v>TKT-1776671610636</v>
      </c>
    </row>
    <row r="81">
      <c r="A81" s="1" t="s">
        <v>1071</v>
      </c>
      <c r="B81" s="1" t="s">
        <v>411</v>
      </c>
      <c r="C81" s="1" t="s">
        <v>280</v>
      </c>
      <c r="D81" s="1" t="s">
        <v>280</v>
      </c>
      <c r="E81" s="1" t="s">
        <v>416</v>
      </c>
      <c r="F81" s="1" t="s">
        <v>89</v>
      </c>
      <c r="H81" s="1" t="s">
        <v>990</v>
      </c>
      <c r="I81" s="11" t="str">
        <f t="array" ref="I81">_xlfn.XLOOKUP(B81,Tickets!A:A,Tickets!A:A)</f>
        <v>TKT-1776671656947</v>
      </c>
    </row>
    <row r="82">
      <c r="A82" s="1" t="s">
        <v>1072</v>
      </c>
      <c r="B82" s="1" t="s">
        <v>417</v>
      </c>
      <c r="C82" s="1" t="s">
        <v>280</v>
      </c>
      <c r="D82" s="1" t="s">
        <v>280</v>
      </c>
      <c r="E82" s="1" t="s">
        <v>423</v>
      </c>
      <c r="F82" s="1" t="s">
        <v>89</v>
      </c>
      <c r="H82" s="1" t="s">
        <v>990</v>
      </c>
      <c r="I82" s="11" t="str">
        <f t="array" ref="I82">_xlfn.XLOOKUP(B82,Tickets!A:A,Tickets!A:A)</f>
        <v>TKT-1776756480752</v>
      </c>
    </row>
    <row r="83">
      <c r="A83" s="1" t="s">
        <v>1073</v>
      </c>
      <c r="B83" s="1" t="s">
        <v>424</v>
      </c>
      <c r="C83" s="1" t="s">
        <v>910</v>
      </c>
      <c r="D83" s="1" t="s">
        <v>809</v>
      </c>
      <c r="E83" s="1" t="s">
        <v>431</v>
      </c>
      <c r="F83" s="1" t="s">
        <v>69</v>
      </c>
      <c r="G83" s="1" t="s">
        <v>430</v>
      </c>
      <c r="I83" s="11" t="str">
        <f t="array" ref="I83">_xlfn.XLOOKUP(B83,Tickets!A:A,Tickets!A:A)</f>
        <v>TKT-1776829073779</v>
      </c>
    </row>
    <row r="84">
      <c r="A84" s="1" t="s">
        <v>1074</v>
      </c>
      <c r="B84" s="1" t="s">
        <v>424</v>
      </c>
      <c r="C84" s="1" t="s">
        <v>771</v>
      </c>
      <c r="D84" s="1" t="s">
        <v>771</v>
      </c>
      <c r="E84" s="1" t="s">
        <v>1075</v>
      </c>
      <c r="F84" s="1" t="s">
        <v>62</v>
      </c>
      <c r="G84" s="1" t="s">
        <v>432</v>
      </c>
      <c r="H84" s="1" t="s">
        <v>215</v>
      </c>
      <c r="I84" s="11" t="str">
        <f t="array" ref="I84">_xlfn.XLOOKUP(B84,Tickets!A:A,Tickets!A:A)</f>
        <v>TKT-1776829073779</v>
      </c>
    </row>
    <row r="85">
      <c r="A85" s="1" t="s">
        <v>1076</v>
      </c>
      <c r="B85" s="1" t="s">
        <v>435</v>
      </c>
      <c r="C85" s="1" t="s">
        <v>910</v>
      </c>
      <c r="D85" s="1" t="s">
        <v>809</v>
      </c>
      <c r="E85" s="1" t="s">
        <v>438</v>
      </c>
      <c r="F85" s="1" t="s">
        <v>69</v>
      </c>
      <c r="G85" s="1" t="s">
        <v>437</v>
      </c>
      <c r="I85" s="11" t="str">
        <f t="array" ref="I85">_xlfn.XLOOKUP(B85,Tickets!A:A,Tickets!A:A)</f>
        <v>TKT-1776927415197</v>
      </c>
    </row>
    <row r="86">
      <c r="A86" s="1" t="s">
        <v>1077</v>
      </c>
      <c r="B86" s="1" t="s">
        <v>444</v>
      </c>
      <c r="C86" s="1" t="s">
        <v>910</v>
      </c>
      <c r="D86" s="1" t="s">
        <v>809</v>
      </c>
      <c r="E86" s="1" t="s">
        <v>447</v>
      </c>
      <c r="F86" s="1" t="s">
        <v>62</v>
      </c>
      <c r="G86" s="1" t="s">
        <v>446</v>
      </c>
      <c r="I86" s="11" t="str">
        <f t="array" ref="I86">_xlfn.XLOOKUP(B86,Tickets!A:A,Tickets!A:A)</f>
        <v>TKT-1776927769965</v>
      </c>
    </row>
    <row r="87">
      <c r="A87" s="1" t="s">
        <v>1078</v>
      </c>
      <c r="B87" s="1" t="s">
        <v>444</v>
      </c>
      <c r="C87" s="1" t="s">
        <v>771</v>
      </c>
      <c r="D87" s="1" t="s">
        <v>771</v>
      </c>
      <c r="E87" s="1" t="s">
        <v>1079</v>
      </c>
      <c r="F87" s="1" t="s">
        <v>62</v>
      </c>
      <c r="G87" s="1" t="s">
        <v>449</v>
      </c>
      <c r="H87" s="1" t="s">
        <v>215</v>
      </c>
      <c r="I87" s="11" t="str">
        <f t="array" ref="I87">_xlfn.XLOOKUP(B87,Tickets!A:A,Tickets!A:A)</f>
        <v>TKT-1776927769965</v>
      </c>
    </row>
    <row r="88">
      <c r="A88" s="1" t="s">
        <v>1080</v>
      </c>
      <c r="B88" s="1" t="s">
        <v>435</v>
      </c>
      <c r="C88" s="1" t="s">
        <v>771</v>
      </c>
      <c r="D88" s="1" t="s">
        <v>771</v>
      </c>
      <c r="E88" s="1" t="s">
        <v>1081</v>
      </c>
      <c r="F88" s="1" t="s">
        <v>62</v>
      </c>
      <c r="G88" s="1" t="s">
        <v>439</v>
      </c>
      <c r="H88" s="1" t="s">
        <v>215</v>
      </c>
      <c r="I88" s="11" t="str">
        <f t="array" ref="I88">_xlfn.XLOOKUP(B88,Tickets!A:A,Tickets!A:A)</f>
        <v>TKT-1776927415197</v>
      </c>
    </row>
    <row r="89">
      <c r="A89" s="1" t="s">
        <v>1082</v>
      </c>
      <c r="B89" s="1" t="s">
        <v>424</v>
      </c>
      <c r="C89" s="1" t="s">
        <v>280</v>
      </c>
      <c r="D89" s="1" t="s">
        <v>280</v>
      </c>
      <c r="E89" s="1" t="s">
        <v>1083</v>
      </c>
      <c r="F89" s="1" t="s">
        <v>82</v>
      </c>
      <c r="H89" s="1" t="s">
        <v>925</v>
      </c>
      <c r="I89" s="11" t="str">
        <f t="array" ref="I89">_xlfn.XLOOKUP(B89,Tickets!A:A,Tickets!A:A)</f>
        <v>TKT-1776829073779</v>
      </c>
    </row>
    <row r="90">
      <c r="A90" s="1" t="s">
        <v>1084</v>
      </c>
      <c r="B90" s="1" t="s">
        <v>435</v>
      </c>
      <c r="C90" s="1" t="s">
        <v>280</v>
      </c>
      <c r="D90" s="1" t="s">
        <v>280</v>
      </c>
      <c r="E90" s="1" t="s">
        <v>1085</v>
      </c>
      <c r="F90" s="1" t="s">
        <v>82</v>
      </c>
      <c r="H90" s="1" t="s">
        <v>925</v>
      </c>
      <c r="I90" s="11" t="str">
        <f t="array" ref="I90">_xlfn.XLOOKUP(B90,Tickets!A:A,Tickets!A:A)</f>
        <v>TKT-1776927415197</v>
      </c>
    </row>
    <row r="91">
      <c r="A91" s="1" t="s">
        <v>1086</v>
      </c>
      <c r="B91" s="1" t="s">
        <v>444</v>
      </c>
      <c r="C91" s="1" t="s">
        <v>280</v>
      </c>
      <c r="D91" s="1" t="s">
        <v>280</v>
      </c>
      <c r="E91" s="1" t="s">
        <v>1087</v>
      </c>
      <c r="F91" s="1" t="s">
        <v>82</v>
      </c>
      <c r="H91" s="1" t="s">
        <v>925</v>
      </c>
      <c r="I91" s="11" t="str">
        <f t="array" ref="I91">_xlfn.XLOOKUP(B91,Tickets!A:A,Tickets!A:A)</f>
        <v>TKT-1776927769965</v>
      </c>
    </row>
    <row r="92">
      <c r="A92" s="1" t="s">
        <v>1088</v>
      </c>
      <c r="B92" s="1" t="s">
        <v>424</v>
      </c>
      <c r="C92" s="1" t="s">
        <v>280</v>
      </c>
      <c r="D92" s="1" t="s">
        <v>280</v>
      </c>
      <c r="E92" s="1" t="s">
        <v>433</v>
      </c>
      <c r="F92" s="1" t="s">
        <v>89</v>
      </c>
      <c r="H92" s="1" t="s">
        <v>990</v>
      </c>
      <c r="I92" s="11" t="str">
        <f t="array" ref="I92">_xlfn.XLOOKUP(B92,Tickets!A:A,Tickets!A:A)</f>
        <v>TKT-1776829073779</v>
      </c>
    </row>
    <row r="93">
      <c r="A93" s="1" t="s">
        <v>1089</v>
      </c>
      <c r="B93" s="1" t="s">
        <v>435</v>
      </c>
      <c r="C93" s="1" t="s">
        <v>280</v>
      </c>
      <c r="D93" s="1" t="s">
        <v>280</v>
      </c>
      <c r="E93" s="1" t="s">
        <v>440</v>
      </c>
      <c r="F93" s="1" t="s">
        <v>89</v>
      </c>
      <c r="H93" s="1" t="s">
        <v>990</v>
      </c>
      <c r="I93" s="11" t="str">
        <f t="array" ref="I93">_xlfn.XLOOKUP(B93,Tickets!A:A,Tickets!A:A)</f>
        <v>TKT-1776927415197</v>
      </c>
    </row>
    <row r="94">
      <c r="A94" s="1" t="s">
        <v>1090</v>
      </c>
      <c r="B94" s="1" t="s">
        <v>444</v>
      </c>
      <c r="C94" s="1" t="s">
        <v>280</v>
      </c>
      <c r="D94" s="1" t="s">
        <v>280</v>
      </c>
      <c r="E94" s="1" t="s">
        <v>451</v>
      </c>
      <c r="F94" s="1" t="s">
        <v>89</v>
      </c>
      <c r="H94" s="1" t="s">
        <v>990</v>
      </c>
      <c r="I94" s="11" t="str">
        <f t="array" ref="I94">_xlfn.XLOOKUP(B94,Tickets!A:A,Tickets!A:A)</f>
        <v>TKT-1776927769965</v>
      </c>
    </row>
    <row r="95">
      <c r="A95" s="1" t="s">
        <v>1091</v>
      </c>
      <c r="B95" s="1" t="s">
        <v>454</v>
      </c>
      <c r="C95" s="1" t="s">
        <v>910</v>
      </c>
      <c r="D95" s="1" t="s">
        <v>809</v>
      </c>
      <c r="E95" s="1" t="s">
        <v>459</v>
      </c>
      <c r="F95" s="1" t="s">
        <v>97</v>
      </c>
      <c r="G95" s="1" t="s">
        <v>1092</v>
      </c>
      <c r="I95" s="11" t="str">
        <f t="array" ref="I95">_xlfn.XLOOKUP(B95,Tickets!A:A,Tickets!A:A)</f>
        <v>TKT-1776999501965</v>
      </c>
    </row>
    <row r="96">
      <c r="A96" s="1" t="s">
        <v>1093</v>
      </c>
      <c r="B96" s="1" t="s">
        <v>454</v>
      </c>
      <c r="C96" s="1" t="s">
        <v>771</v>
      </c>
      <c r="D96" s="1" t="s">
        <v>771</v>
      </c>
      <c r="E96" s="1" t="s">
        <v>1094</v>
      </c>
      <c r="F96" s="1" t="s">
        <v>62</v>
      </c>
      <c r="G96" s="1" t="s">
        <v>461</v>
      </c>
      <c r="H96" s="1" t="s">
        <v>215</v>
      </c>
      <c r="I96" s="11" t="str">
        <f t="array" ref="I96">_xlfn.XLOOKUP(B96,Tickets!A:A,Tickets!A:A)</f>
        <v>TKT-1776999501965</v>
      </c>
    </row>
    <row r="97">
      <c r="A97" s="1" t="s">
        <v>1095</v>
      </c>
      <c r="B97" s="1" t="s">
        <v>465</v>
      </c>
      <c r="C97" s="1" t="s">
        <v>910</v>
      </c>
      <c r="D97" s="1" t="s">
        <v>809</v>
      </c>
      <c r="E97" s="1" t="s">
        <v>471</v>
      </c>
      <c r="F97" s="1" t="s">
        <v>50</v>
      </c>
      <c r="G97" s="1" t="s">
        <v>470</v>
      </c>
      <c r="I97" s="11" t="str">
        <f t="array" ref="I97">_xlfn.XLOOKUP(B97,Tickets!A:A,Tickets!A:A)</f>
        <v>TKT-1777276449750</v>
      </c>
    </row>
    <row r="98">
      <c r="A98" s="1" t="s">
        <v>1096</v>
      </c>
      <c r="B98" s="1" t="s">
        <v>474</v>
      </c>
      <c r="C98" s="1" t="s">
        <v>910</v>
      </c>
      <c r="D98" s="1" t="s">
        <v>809</v>
      </c>
      <c r="E98" s="1" t="s">
        <v>475</v>
      </c>
      <c r="F98" s="1" t="s">
        <v>50</v>
      </c>
      <c r="G98" s="1" t="s">
        <v>390</v>
      </c>
      <c r="I98" s="11" t="str">
        <f t="array" ref="I98">_xlfn.XLOOKUP(B98,Tickets!A:A,Tickets!A:A)</f>
        <v>TKT-1777348190787</v>
      </c>
    </row>
    <row r="99">
      <c r="A99" s="1" t="s">
        <v>1097</v>
      </c>
      <c r="B99" s="1" t="s">
        <v>474</v>
      </c>
      <c r="C99" s="1" t="s">
        <v>771</v>
      </c>
      <c r="D99" s="1" t="s">
        <v>771</v>
      </c>
      <c r="E99" s="1" t="s">
        <v>1098</v>
      </c>
      <c r="F99" s="1" t="s">
        <v>62</v>
      </c>
      <c r="G99" s="1" t="s">
        <v>476</v>
      </c>
      <c r="H99" s="1" t="s">
        <v>215</v>
      </c>
      <c r="I99" s="11" t="str">
        <f t="array" ref="I99">_xlfn.XLOOKUP(B99,Tickets!A:A,Tickets!A:A)</f>
        <v>TKT-1777348190787</v>
      </c>
    </row>
    <row r="100">
      <c r="A100" s="1" t="s">
        <v>1099</v>
      </c>
      <c r="B100" s="1" t="s">
        <v>465</v>
      </c>
      <c r="C100" s="1" t="s">
        <v>771</v>
      </c>
      <c r="D100" s="1" t="s">
        <v>771</v>
      </c>
      <c r="E100" s="1" t="s">
        <v>1100</v>
      </c>
      <c r="F100" s="1" t="s">
        <v>62</v>
      </c>
      <c r="H100" s="1" t="s">
        <v>215</v>
      </c>
      <c r="I100" s="11" t="str">
        <f t="array" ref="I100">_xlfn.XLOOKUP(B100,Tickets!A:A,Tickets!A:A)</f>
        <v>TKT-1777276449750</v>
      </c>
    </row>
    <row r="101">
      <c r="A101" s="1" t="s">
        <v>1101</v>
      </c>
      <c r="B101" s="1" t="s">
        <v>478</v>
      </c>
      <c r="C101" s="1" t="s">
        <v>910</v>
      </c>
      <c r="D101" s="1" t="s">
        <v>809</v>
      </c>
      <c r="E101" s="1" t="s">
        <v>482</v>
      </c>
      <c r="F101" s="1" t="s">
        <v>69</v>
      </c>
      <c r="G101" s="1" t="s">
        <v>481</v>
      </c>
      <c r="I101" s="11" t="str">
        <f t="array" ref="I101">_xlfn.XLOOKUP(B101,Tickets!A:A,Tickets!A:A)</f>
        <v>TKT-1777355053398</v>
      </c>
    </row>
    <row r="102">
      <c r="A102" s="1" t="s">
        <v>1102</v>
      </c>
      <c r="B102" s="1" t="s">
        <v>478</v>
      </c>
      <c r="C102" s="1" t="s">
        <v>771</v>
      </c>
      <c r="D102" s="1" t="s">
        <v>771</v>
      </c>
      <c r="E102" s="1" t="s">
        <v>1103</v>
      </c>
      <c r="F102" s="1" t="s">
        <v>62</v>
      </c>
      <c r="H102" s="1" t="s">
        <v>215</v>
      </c>
      <c r="I102" s="11" t="str">
        <f t="array" ref="I102">_xlfn.XLOOKUP(B102,Tickets!A:A,Tickets!A:A)</f>
        <v>TKT-1777355053398</v>
      </c>
    </row>
    <row r="103">
      <c r="A103" s="1" t="s">
        <v>1104</v>
      </c>
      <c r="B103" s="1" t="s">
        <v>478</v>
      </c>
      <c r="C103" s="1" t="s">
        <v>280</v>
      </c>
      <c r="D103" s="1" t="s">
        <v>280</v>
      </c>
      <c r="E103" s="1" t="s">
        <v>1105</v>
      </c>
      <c r="F103" s="1" t="s">
        <v>82</v>
      </c>
      <c r="H103" s="1" t="s">
        <v>925</v>
      </c>
      <c r="I103" s="11" t="str">
        <f t="array" ref="I103">_xlfn.XLOOKUP(B103,Tickets!A:A,Tickets!A:A)</f>
        <v>TKT-1777355053398</v>
      </c>
    </row>
    <row r="104">
      <c r="A104" s="1" t="s">
        <v>1106</v>
      </c>
      <c r="B104" s="1" t="s">
        <v>474</v>
      </c>
      <c r="C104" s="1" t="s">
        <v>280</v>
      </c>
      <c r="D104" s="1" t="s">
        <v>280</v>
      </c>
      <c r="E104" s="1" t="s">
        <v>1107</v>
      </c>
      <c r="F104" s="1" t="s">
        <v>82</v>
      </c>
      <c r="H104" s="1" t="s">
        <v>925</v>
      </c>
      <c r="I104" s="11" t="str">
        <f t="array" ref="I104">_xlfn.XLOOKUP(B104,Tickets!A:A,Tickets!A:A)</f>
        <v>TKT-1777348190787</v>
      </c>
    </row>
    <row r="105">
      <c r="A105" s="1" t="s">
        <v>1108</v>
      </c>
      <c r="B105" s="1" t="s">
        <v>465</v>
      </c>
      <c r="C105" s="1" t="s">
        <v>280</v>
      </c>
      <c r="D105" s="1" t="s">
        <v>280</v>
      </c>
      <c r="E105" s="1" t="s">
        <v>1109</v>
      </c>
      <c r="F105" s="1" t="s">
        <v>82</v>
      </c>
      <c r="H105" s="1" t="s">
        <v>925</v>
      </c>
      <c r="I105" s="11" t="str">
        <f t="array" ref="I105">_xlfn.XLOOKUP(B105,Tickets!A:A,Tickets!A:A)</f>
        <v>TKT-1777276449750</v>
      </c>
    </row>
    <row r="106">
      <c r="A106" s="1" t="s">
        <v>1110</v>
      </c>
      <c r="B106" s="1" t="s">
        <v>454</v>
      </c>
      <c r="C106" s="1" t="s">
        <v>280</v>
      </c>
      <c r="D106" s="1" t="s">
        <v>280</v>
      </c>
      <c r="E106" s="1" t="s">
        <v>1111</v>
      </c>
      <c r="F106" s="1" t="s">
        <v>82</v>
      </c>
      <c r="H106" s="1" t="s">
        <v>925</v>
      </c>
      <c r="I106" s="11" t="str">
        <f t="array" ref="I106">_xlfn.XLOOKUP(B106,Tickets!A:A,Tickets!A:A)</f>
        <v>TKT-1776999501965</v>
      </c>
    </row>
    <row r="107">
      <c r="A107" s="1" t="s">
        <v>1112</v>
      </c>
      <c r="B107" s="1" t="s">
        <v>454</v>
      </c>
      <c r="C107" s="1" t="s">
        <v>280</v>
      </c>
      <c r="D107" s="1" t="s">
        <v>280</v>
      </c>
      <c r="E107" s="1" t="s">
        <v>462</v>
      </c>
      <c r="F107" s="1" t="s">
        <v>89</v>
      </c>
      <c r="H107" s="1" t="s">
        <v>990</v>
      </c>
      <c r="I107" s="11" t="str">
        <f t="array" ref="I107">_xlfn.XLOOKUP(B107,Tickets!A:A,Tickets!A:A)</f>
        <v>TKT-1776999501965</v>
      </c>
    </row>
    <row r="108">
      <c r="A108" s="1" t="s">
        <v>1113</v>
      </c>
      <c r="B108" s="1" t="s">
        <v>465</v>
      </c>
      <c r="C108" s="1" t="s">
        <v>280</v>
      </c>
      <c r="D108" s="1" t="s">
        <v>280</v>
      </c>
      <c r="E108" s="1" t="s">
        <v>472</v>
      </c>
      <c r="F108" s="1" t="s">
        <v>89</v>
      </c>
      <c r="H108" s="1" t="s">
        <v>990</v>
      </c>
      <c r="I108" s="11" t="str">
        <f t="array" ref="I108">_xlfn.XLOOKUP(B108,Tickets!A:A,Tickets!A:A)</f>
        <v>TKT-1777276449750</v>
      </c>
    </row>
    <row r="109">
      <c r="A109" s="1" t="s">
        <v>1114</v>
      </c>
      <c r="B109" s="1" t="s">
        <v>474</v>
      </c>
      <c r="C109" s="1" t="s">
        <v>280</v>
      </c>
      <c r="D109" s="1" t="s">
        <v>280</v>
      </c>
      <c r="E109" s="1" t="s">
        <v>477</v>
      </c>
      <c r="F109" s="1" t="s">
        <v>89</v>
      </c>
      <c r="H109" s="1" t="s">
        <v>990</v>
      </c>
      <c r="I109" s="11" t="str">
        <f t="array" ref="I109">_xlfn.XLOOKUP(B109,Tickets!A:A,Tickets!A:A)</f>
        <v>TKT-1777348190787</v>
      </c>
    </row>
    <row r="110">
      <c r="A110" s="1" t="s">
        <v>1115</v>
      </c>
      <c r="B110" s="1" t="s">
        <v>478</v>
      </c>
      <c r="C110" s="1" t="s">
        <v>280</v>
      </c>
      <c r="D110" s="1" t="s">
        <v>280</v>
      </c>
      <c r="E110" s="1" t="s">
        <v>483</v>
      </c>
      <c r="F110" s="1" t="s">
        <v>89</v>
      </c>
      <c r="H110" s="1" t="s">
        <v>990</v>
      </c>
      <c r="I110" s="11" t="str">
        <f t="array" ref="I110">_xlfn.XLOOKUP(B110,Tickets!A:A,Tickets!A:A)</f>
        <v>TKT-1777355053398</v>
      </c>
    </row>
    <row r="111">
      <c r="A111" s="1" t="s">
        <v>1116</v>
      </c>
      <c r="B111" s="1" t="s">
        <v>486</v>
      </c>
      <c r="C111" s="1" t="s">
        <v>910</v>
      </c>
      <c r="D111" s="1" t="s">
        <v>809</v>
      </c>
      <c r="E111" s="1" t="s">
        <v>488</v>
      </c>
      <c r="F111" s="1" t="s">
        <v>50</v>
      </c>
      <c r="G111" s="1" t="s">
        <v>390</v>
      </c>
      <c r="I111" s="11" t="str">
        <f t="array" ref="I111">_xlfn.XLOOKUP(B111,Tickets!A:A,Tickets!A:A)</f>
        <v>TKT-1778045180113</v>
      </c>
    </row>
    <row r="112">
      <c r="A112" s="1" t="s">
        <v>1117</v>
      </c>
      <c r="B112" s="1" t="s">
        <v>486</v>
      </c>
      <c r="C112" s="1" t="s">
        <v>771</v>
      </c>
      <c r="D112" s="1" t="s">
        <v>771</v>
      </c>
      <c r="E112" s="1" t="s">
        <v>1118</v>
      </c>
      <c r="F112" s="1" t="s">
        <v>62</v>
      </c>
      <c r="H112" s="1" t="s">
        <v>215</v>
      </c>
      <c r="I112" s="11" t="str">
        <f t="array" ref="I112">_xlfn.XLOOKUP(B112,Tickets!A:A,Tickets!A:A)</f>
        <v>TKT-1778045180113</v>
      </c>
    </row>
    <row r="113">
      <c r="A113" s="1" t="s">
        <v>1119</v>
      </c>
      <c r="B113" s="1" t="s">
        <v>454</v>
      </c>
      <c r="C113" s="1" t="s">
        <v>1120</v>
      </c>
      <c r="D113" s="1" t="s">
        <v>261</v>
      </c>
      <c r="E113" s="1" t="s">
        <v>1121</v>
      </c>
      <c r="I113" s="11" t="str">
        <f t="array" ref="I113">_xlfn.XLOOKUP(B113,Tickets!A:A,Tickets!A:A)</f>
        <v>TKT-1776999501965</v>
      </c>
    </row>
    <row r="114">
      <c r="A114" s="1" t="s">
        <v>1122</v>
      </c>
      <c r="B114" s="1" t="s">
        <v>454</v>
      </c>
      <c r="C114" s="1" t="s">
        <v>1120</v>
      </c>
      <c r="D114" s="1" t="s">
        <v>261</v>
      </c>
      <c r="E114" s="1" t="s">
        <v>1123</v>
      </c>
      <c r="I114" s="11" t="str">
        <f t="array" ref="I114">_xlfn.XLOOKUP(B114,Tickets!A:A,Tickets!A:A)</f>
        <v>TKT-1776999501965</v>
      </c>
    </row>
    <row r="115">
      <c r="A115" s="1" t="s">
        <v>1124</v>
      </c>
      <c r="B115" s="1" t="s">
        <v>490</v>
      </c>
      <c r="C115" s="1" t="s">
        <v>910</v>
      </c>
      <c r="D115" s="1" t="s">
        <v>809</v>
      </c>
      <c r="E115" s="1" t="s">
        <v>492</v>
      </c>
      <c r="F115" s="1" t="s">
        <v>50</v>
      </c>
      <c r="G115" s="1" t="s">
        <v>334</v>
      </c>
      <c r="I115" s="11" t="str">
        <f t="array" ref="I115">_xlfn.XLOOKUP(B115,Tickets!A:A,Tickets!A:A)</f>
        <v>TKT-1778230741215</v>
      </c>
    </row>
    <row r="116">
      <c r="A116" s="1" t="s">
        <v>1125</v>
      </c>
      <c r="B116" s="1" t="s">
        <v>497</v>
      </c>
      <c r="C116" s="1" t="s">
        <v>910</v>
      </c>
      <c r="D116" s="1" t="s">
        <v>809</v>
      </c>
      <c r="E116" s="1" t="s">
        <v>501</v>
      </c>
      <c r="F116" s="1" t="s">
        <v>97</v>
      </c>
      <c r="G116" s="1" t="s">
        <v>500</v>
      </c>
      <c r="I116" s="11" t="str">
        <f t="array" ref="I116">_xlfn.XLOOKUP(B116,Tickets!A:A,Tickets!A:A)</f>
        <v>TKT-1778467898610</v>
      </c>
    </row>
    <row r="117">
      <c r="A117" s="1" t="s">
        <v>1126</v>
      </c>
      <c r="B117" s="1" t="s">
        <v>505</v>
      </c>
      <c r="C117" s="1" t="s">
        <v>910</v>
      </c>
      <c r="D117" s="1" t="s">
        <v>809</v>
      </c>
      <c r="E117" s="1" t="s">
        <v>507</v>
      </c>
      <c r="F117" s="1" t="s">
        <v>97</v>
      </c>
      <c r="G117" s="1" t="s">
        <v>506</v>
      </c>
      <c r="I117" s="11" t="str">
        <f t="array" ref="I117">_xlfn.XLOOKUP(B117,Tickets!A:A,Tickets!A:A)</f>
        <v>TKT-1778469681143</v>
      </c>
    </row>
    <row r="118">
      <c r="A118" s="1" t="s">
        <v>1127</v>
      </c>
      <c r="B118" s="1" t="s">
        <v>497</v>
      </c>
      <c r="C118" s="1" t="s">
        <v>771</v>
      </c>
      <c r="D118" s="1" t="s">
        <v>771</v>
      </c>
      <c r="E118" s="1" t="s">
        <v>1128</v>
      </c>
      <c r="F118" s="1" t="s">
        <v>62</v>
      </c>
      <c r="G118" s="1" t="s">
        <v>502</v>
      </c>
      <c r="H118" s="1" t="s">
        <v>215</v>
      </c>
      <c r="I118" s="11" t="str">
        <f t="array" ref="I118">_xlfn.XLOOKUP(B118,Tickets!A:A,Tickets!A:A)</f>
        <v>TKT-1778467898610</v>
      </c>
    </row>
    <row r="119">
      <c r="A119" s="1" t="s">
        <v>1129</v>
      </c>
      <c r="B119" s="1" t="s">
        <v>490</v>
      </c>
      <c r="C119" s="1" t="s">
        <v>771</v>
      </c>
      <c r="D119" s="1" t="s">
        <v>771</v>
      </c>
      <c r="E119" s="1" t="s">
        <v>1130</v>
      </c>
      <c r="F119" s="1" t="s">
        <v>62</v>
      </c>
      <c r="H119" s="1" t="s">
        <v>215</v>
      </c>
      <c r="I119" s="11" t="str">
        <f t="array" ref="I119">_xlfn.XLOOKUP(B119,Tickets!A:A,Tickets!A:A)</f>
        <v>TKT-1778230741215</v>
      </c>
    </row>
    <row r="120">
      <c r="A120" s="1" t="s">
        <v>1131</v>
      </c>
      <c r="B120" s="1" t="s">
        <v>505</v>
      </c>
      <c r="C120" s="1" t="s">
        <v>771</v>
      </c>
      <c r="D120" s="1" t="s">
        <v>771</v>
      </c>
      <c r="E120" s="1" t="s">
        <v>1132</v>
      </c>
      <c r="F120" s="1" t="s">
        <v>62</v>
      </c>
      <c r="G120" s="1" t="s">
        <v>509</v>
      </c>
      <c r="H120" s="1" t="s">
        <v>215</v>
      </c>
      <c r="I120" s="11" t="str">
        <f t="array" ref="I120">_xlfn.XLOOKUP(B120,Tickets!A:A,Tickets!A:A)</f>
        <v>TKT-1778469681143</v>
      </c>
    </row>
    <row r="121">
      <c r="A121" s="1" t="s">
        <v>1133</v>
      </c>
      <c r="B121" s="1" t="s">
        <v>512</v>
      </c>
      <c r="C121" s="1" t="s">
        <v>910</v>
      </c>
      <c r="D121" s="1" t="s">
        <v>809</v>
      </c>
      <c r="E121" s="1" t="s">
        <v>515</v>
      </c>
      <c r="F121" s="1" t="s">
        <v>50</v>
      </c>
      <c r="G121" s="1" t="s">
        <v>514</v>
      </c>
      <c r="I121" s="11" t="str">
        <f t="array" ref="I121">_xlfn.XLOOKUP(B121,Tickets!A:A,Tickets!A:A)</f>
        <v>TKT-1778559259749</v>
      </c>
    </row>
    <row r="122">
      <c r="A122" s="1" t="s">
        <v>1134</v>
      </c>
      <c r="B122" s="1" t="s">
        <v>512</v>
      </c>
      <c r="C122" s="1" t="s">
        <v>771</v>
      </c>
      <c r="D122" s="1" t="s">
        <v>771</v>
      </c>
      <c r="E122" s="1" t="s">
        <v>1135</v>
      </c>
      <c r="F122" s="1" t="s">
        <v>62</v>
      </c>
      <c r="G122" s="1" t="s">
        <v>516</v>
      </c>
      <c r="H122" s="1" t="s">
        <v>215</v>
      </c>
      <c r="I122" s="11" t="str">
        <f t="array" ref="I122">_xlfn.XLOOKUP(B122,Tickets!A:A,Tickets!A:A)</f>
        <v>TKT-1778559259749</v>
      </c>
    </row>
    <row r="123">
      <c r="A123" s="1" t="s">
        <v>1136</v>
      </c>
      <c r="B123" s="1" t="s">
        <v>490</v>
      </c>
      <c r="C123" s="1" t="s">
        <v>280</v>
      </c>
      <c r="D123" s="1" t="s">
        <v>280</v>
      </c>
      <c r="E123" s="1" t="s">
        <v>493</v>
      </c>
      <c r="F123" s="1" t="s">
        <v>115</v>
      </c>
      <c r="H123" s="1" t="s">
        <v>606</v>
      </c>
      <c r="I123" s="11" t="str">
        <f t="array" ref="I123">_xlfn.XLOOKUP(B123,Tickets!A:A,Tickets!A:A)</f>
        <v>TKT-1778230741215</v>
      </c>
    </row>
    <row r="124">
      <c r="A124" s="1" t="s">
        <v>1137</v>
      </c>
      <c r="B124" s="1" t="s">
        <v>486</v>
      </c>
      <c r="C124" s="1" t="s">
        <v>280</v>
      </c>
      <c r="D124" s="1" t="s">
        <v>280</v>
      </c>
      <c r="E124" s="1" t="s">
        <v>489</v>
      </c>
      <c r="F124" s="1" t="s">
        <v>115</v>
      </c>
      <c r="H124" s="1" t="s">
        <v>606</v>
      </c>
      <c r="I124" s="11" t="str">
        <f t="array" ref="I124">_xlfn.XLOOKUP(B124,Tickets!A:A,Tickets!A:A)</f>
        <v>TKT-1778045180113</v>
      </c>
    </row>
    <row r="125">
      <c r="A125" s="1" t="s">
        <v>1138</v>
      </c>
      <c r="B125" s="1" t="s">
        <v>505</v>
      </c>
      <c r="C125" s="1" t="s">
        <v>280</v>
      </c>
      <c r="D125" s="1" t="s">
        <v>280</v>
      </c>
      <c r="E125" s="1" t="s">
        <v>510</v>
      </c>
      <c r="F125" s="1" t="s">
        <v>115</v>
      </c>
      <c r="H125" s="1" t="s">
        <v>606</v>
      </c>
      <c r="I125" s="11" t="str">
        <f t="array" ref="I125">_xlfn.XLOOKUP(B125,Tickets!A:A,Tickets!A:A)</f>
        <v>TKT-1778469681143</v>
      </c>
    </row>
    <row r="126">
      <c r="A126" s="1" t="s">
        <v>1139</v>
      </c>
      <c r="B126" s="1" t="s">
        <v>497</v>
      </c>
      <c r="C126" s="1" t="s">
        <v>280</v>
      </c>
      <c r="D126" s="1" t="s">
        <v>280</v>
      </c>
      <c r="E126" s="1" t="s">
        <v>503</v>
      </c>
      <c r="F126" s="1" t="s">
        <v>115</v>
      </c>
      <c r="H126" s="1" t="s">
        <v>606</v>
      </c>
      <c r="I126" s="11" t="str">
        <f t="array" ref="I126">_xlfn.XLOOKUP(B126,Tickets!A:A,Tickets!A:A)</f>
        <v>TKT-1778467898610</v>
      </c>
    </row>
    <row r="127">
      <c r="A127" s="1" t="s">
        <v>1140</v>
      </c>
      <c r="B127" s="1" t="s">
        <v>512</v>
      </c>
      <c r="C127" s="1" t="s">
        <v>280</v>
      </c>
      <c r="D127" s="1" t="s">
        <v>280</v>
      </c>
      <c r="E127" s="1" t="s">
        <v>517</v>
      </c>
      <c r="F127" s="1" t="s">
        <v>115</v>
      </c>
      <c r="H127" s="1" t="s">
        <v>606</v>
      </c>
      <c r="I127" s="11" t="str">
        <f t="array" ref="I127">_xlfn.XLOOKUP(B127,Tickets!A:A,Tickets!A:A)</f>
        <v>TKT-1778559259749</v>
      </c>
    </row>
    <row r="128">
      <c r="A128" s="1" t="s">
        <v>1141</v>
      </c>
      <c r="B128" s="1" t="s">
        <v>521</v>
      </c>
      <c r="C128" s="1" t="s">
        <v>910</v>
      </c>
      <c r="D128" s="1" t="s">
        <v>809</v>
      </c>
      <c r="E128" s="1" t="s">
        <v>522</v>
      </c>
      <c r="F128" s="1" t="s">
        <v>50</v>
      </c>
      <c r="G128" s="1" t="s">
        <v>514</v>
      </c>
      <c r="I128" s="11" t="str">
        <f t="array" ref="I128">_xlfn.XLOOKUP(B128,Tickets!A:A,Tickets!A:A)</f>
        <v>TKT-1778647133017</v>
      </c>
    </row>
    <row r="129">
      <c r="A129" s="1" t="s">
        <v>1142</v>
      </c>
      <c r="B129" s="1" t="s">
        <v>521</v>
      </c>
      <c r="C129" s="1" t="s">
        <v>771</v>
      </c>
      <c r="D129" s="1" t="s">
        <v>771</v>
      </c>
      <c r="E129" s="1" t="s">
        <v>1143</v>
      </c>
      <c r="F129" s="1" t="s">
        <v>62</v>
      </c>
      <c r="H129" s="1" t="s">
        <v>215</v>
      </c>
      <c r="I129" s="11" t="str">
        <f t="array" ref="I129">_xlfn.XLOOKUP(B129,Tickets!A:A,Tickets!A:A)</f>
        <v>TKT-1778647133017</v>
      </c>
    </row>
    <row r="130">
      <c r="A130" s="1" t="s">
        <v>1144</v>
      </c>
      <c r="B130" s="1" t="s">
        <v>525</v>
      </c>
      <c r="C130" s="1" t="s">
        <v>910</v>
      </c>
      <c r="D130" s="1" t="s">
        <v>809</v>
      </c>
      <c r="E130" s="1" t="s">
        <v>526</v>
      </c>
      <c r="F130" s="1" t="s">
        <v>57</v>
      </c>
      <c r="G130" s="1" t="s">
        <v>63</v>
      </c>
      <c r="I130" s="11" t="str">
        <f t="array" ref="I130">_xlfn.XLOOKUP(B130,Tickets!A:A,Tickets!A:A)</f>
        <v>TKT-1778727782508</v>
      </c>
    </row>
    <row r="131">
      <c r="A131" s="1" t="s">
        <v>1145</v>
      </c>
      <c r="B131" s="1" t="s">
        <v>525</v>
      </c>
      <c r="C131" s="1" t="s">
        <v>280</v>
      </c>
      <c r="D131" s="1" t="s">
        <v>280</v>
      </c>
      <c r="E131" s="1" t="s">
        <v>832</v>
      </c>
      <c r="F131" s="1" t="s">
        <v>115</v>
      </c>
      <c r="H131" s="1" t="s">
        <v>606</v>
      </c>
      <c r="I131" s="11" t="str">
        <f t="array" ref="I131">_xlfn.XLOOKUP(B131,Tickets!A:A,Tickets!A:A)</f>
        <v>TKT-1778727782508</v>
      </c>
    </row>
    <row r="132">
      <c r="A132" s="1" t="s">
        <v>1146</v>
      </c>
      <c r="B132" s="1" t="s">
        <v>521</v>
      </c>
      <c r="C132" s="1" t="s">
        <v>280</v>
      </c>
      <c r="D132" s="1" t="s">
        <v>280</v>
      </c>
      <c r="E132" s="1" t="s">
        <v>523</v>
      </c>
      <c r="F132" s="1" t="s">
        <v>115</v>
      </c>
      <c r="H132" s="1" t="s">
        <v>606</v>
      </c>
      <c r="I132" s="11" t="str">
        <f t="array" ref="I132">_xlfn.XLOOKUP(B132,Tickets!A:A,Tickets!A:A)</f>
        <v>TKT-1778647133017</v>
      </c>
    </row>
    <row r="133">
      <c r="A133" s="1" t="s">
        <v>1147</v>
      </c>
      <c r="B133" s="1" t="s">
        <v>525</v>
      </c>
      <c r="C133" s="1" t="s">
        <v>771</v>
      </c>
      <c r="D133" s="1" t="s">
        <v>771</v>
      </c>
      <c r="E133" s="1" t="s">
        <v>1148</v>
      </c>
      <c r="F133" s="1" t="s">
        <v>62</v>
      </c>
      <c r="G133" s="1" t="s">
        <v>527</v>
      </c>
      <c r="H133" s="1" t="s">
        <v>215</v>
      </c>
      <c r="I133" s="11" t="str">
        <f t="array" ref="I133">_xlfn.XLOOKUP(B133,Tickets!A:A,Tickets!A:A)</f>
        <v>TKT-1778727782508</v>
      </c>
    </row>
    <row r="134">
      <c r="A134" s="1" t="s">
        <v>1149</v>
      </c>
      <c r="B134" s="1" t="s">
        <v>530</v>
      </c>
      <c r="C134" s="1" t="s">
        <v>910</v>
      </c>
      <c r="D134" s="1" t="s">
        <v>809</v>
      </c>
      <c r="E134" s="1" t="s">
        <v>532</v>
      </c>
      <c r="F134" s="1" t="s">
        <v>40</v>
      </c>
      <c r="G134" s="1" t="s">
        <v>531</v>
      </c>
      <c r="I134" s="11" t="str">
        <f t="array" ref="I134">_xlfn.XLOOKUP(B134,Tickets!A:A,Tickets!A:A)</f>
        <v>TKT-1778827318176</v>
      </c>
    </row>
    <row r="135">
      <c r="A135" s="1" t="s">
        <v>1150</v>
      </c>
      <c r="B135" s="1" t="s">
        <v>530</v>
      </c>
      <c r="C135" s="1" t="s">
        <v>771</v>
      </c>
      <c r="D135" s="1" t="s">
        <v>771</v>
      </c>
      <c r="E135" s="1" t="s">
        <v>834</v>
      </c>
      <c r="F135" s="1" t="s">
        <v>62</v>
      </c>
      <c r="G135" s="1" t="s">
        <v>533</v>
      </c>
      <c r="H135" s="1" t="s">
        <v>215</v>
      </c>
      <c r="I135" s="11" t="str">
        <f t="array" ref="I135">_xlfn.XLOOKUP(B135,Tickets!A:A,Tickets!A:A)</f>
        <v>TKT-1778827318176</v>
      </c>
    </row>
    <row r="136">
      <c r="A136" s="1" t="s">
        <v>1151</v>
      </c>
      <c r="B136" s="1" t="s">
        <v>525</v>
      </c>
      <c r="C136" s="1" t="s">
        <v>280</v>
      </c>
      <c r="D136" s="1" t="s">
        <v>280</v>
      </c>
      <c r="E136" s="1" t="s">
        <v>528</v>
      </c>
      <c r="F136" s="1" t="s">
        <v>115</v>
      </c>
      <c r="H136" s="1" t="s">
        <v>606</v>
      </c>
      <c r="I136" s="11" t="str">
        <f t="array" ref="I136">_xlfn.XLOOKUP(B136,Tickets!A:A,Tickets!A:A)</f>
        <v>TKT-1778727782508</v>
      </c>
    </row>
    <row r="137">
      <c r="A137" s="1" t="s">
        <v>1152</v>
      </c>
      <c r="B137" s="1" t="s">
        <v>530</v>
      </c>
      <c r="C137" s="1" t="s">
        <v>280</v>
      </c>
      <c r="D137" s="1" t="s">
        <v>280</v>
      </c>
      <c r="E137" s="1" t="s">
        <v>534</v>
      </c>
      <c r="F137" s="1" t="s">
        <v>115</v>
      </c>
      <c r="H137" s="1" t="s">
        <v>606</v>
      </c>
      <c r="I137" s="11" t="str">
        <f t="array" ref="I137">_xlfn.XLOOKUP(B137,Tickets!A:A,Tickets!A:A)</f>
        <v>TKT-1778827318176</v>
      </c>
    </row>
    <row r="138">
      <c r="A138" s="1" t="s">
        <v>1153</v>
      </c>
      <c r="B138" s="1" t="s">
        <v>535</v>
      </c>
      <c r="C138" s="1" t="s">
        <v>910</v>
      </c>
      <c r="D138" s="1" t="s">
        <v>809</v>
      </c>
      <c r="E138" s="1" t="s">
        <v>540</v>
      </c>
      <c r="F138" s="1" t="s">
        <v>50</v>
      </c>
      <c r="G138" s="1" t="s">
        <v>538</v>
      </c>
      <c r="I138" s="11" t="str">
        <f t="array" ref="I138">_xlfn.XLOOKUP(B138,Tickets!A:A,Tickets!A:A)</f>
        <v>TKT-1779178137478</v>
      </c>
    </row>
    <row r="139">
      <c r="A139" s="1" t="s">
        <v>1154</v>
      </c>
      <c r="B139" s="1" t="s">
        <v>535</v>
      </c>
      <c r="C139" s="1" t="s">
        <v>771</v>
      </c>
      <c r="D139" s="1" t="s">
        <v>771</v>
      </c>
      <c r="E139" s="1" t="s">
        <v>837</v>
      </c>
      <c r="F139" s="1" t="s">
        <v>62</v>
      </c>
      <c r="H139" s="1" t="s">
        <v>215</v>
      </c>
      <c r="I139" s="11" t="str">
        <f t="array" ref="I139">_xlfn.XLOOKUP(B139,Tickets!A:A,Tickets!A:A)</f>
        <v>TKT-1779178137478</v>
      </c>
    </row>
    <row r="140">
      <c r="A140" s="1" t="s">
        <v>1155</v>
      </c>
      <c r="B140" s="1" t="s">
        <v>543</v>
      </c>
      <c r="C140" s="1" t="s">
        <v>910</v>
      </c>
      <c r="D140" s="1" t="s">
        <v>809</v>
      </c>
      <c r="E140" s="1" t="s">
        <v>546</v>
      </c>
      <c r="F140" s="1" t="s">
        <v>128</v>
      </c>
      <c r="G140" s="1" t="s">
        <v>545</v>
      </c>
      <c r="I140" s="11" t="str">
        <f t="array" ref="I140">_xlfn.XLOOKUP(B140,Tickets!A:A,Tickets!A:A)</f>
        <v>TKT-1779336387407</v>
      </c>
    </row>
    <row r="141">
      <c r="A141" s="1" t="s">
        <v>1156</v>
      </c>
      <c r="B141" s="1" t="s">
        <v>550</v>
      </c>
      <c r="C141" s="1" t="s">
        <v>910</v>
      </c>
      <c r="D141" s="1" t="s">
        <v>809</v>
      </c>
      <c r="E141" s="1" t="s">
        <v>555</v>
      </c>
      <c r="F141" s="1" t="s">
        <v>50</v>
      </c>
      <c r="G141" s="1" t="s">
        <v>554</v>
      </c>
      <c r="I141" s="11" t="str">
        <f t="array" ref="I141">_xlfn.XLOOKUP(B141,Tickets!A:A,Tickets!A:A)</f>
        <v>TKT-1779437242667</v>
      </c>
    </row>
    <row r="142">
      <c r="A142" s="1" t="s">
        <v>1157</v>
      </c>
      <c r="B142" s="1" t="s">
        <v>543</v>
      </c>
      <c r="C142" s="1" t="s">
        <v>771</v>
      </c>
      <c r="D142" s="1" t="s">
        <v>771</v>
      </c>
      <c r="E142" s="1" t="s">
        <v>839</v>
      </c>
      <c r="F142" s="1" t="s">
        <v>62</v>
      </c>
      <c r="G142" s="1" t="s">
        <v>547</v>
      </c>
      <c r="H142" s="1" t="s">
        <v>215</v>
      </c>
      <c r="I142" s="11" t="str">
        <f t="array" ref="I142">_xlfn.XLOOKUP(B142,Tickets!A:A,Tickets!A:A)</f>
        <v>TKT-1779336387407</v>
      </c>
    </row>
    <row r="143">
      <c r="A143" s="1" t="s">
        <v>1158</v>
      </c>
      <c r="B143" s="1" t="s">
        <v>550</v>
      </c>
      <c r="C143" s="1" t="s">
        <v>771</v>
      </c>
      <c r="D143" s="1" t="s">
        <v>771</v>
      </c>
      <c r="E143" s="1" t="s">
        <v>1159</v>
      </c>
      <c r="F143" s="1" t="s">
        <v>62</v>
      </c>
      <c r="G143" s="1" t="s">
        <v>556</v>
      </c>
      <c r="H143" s="1" t="s">
        <v>215</v>
      </c>
      <c r="I143" s="11" t="str">
        <f t="array" ref="I143">_xlfn.XLOOKUP(B143,Tickets!A:A,Tickets!A:A)</f>
        <v>TKT-1779437242667</v>
      </c>
    </row>
    <row r="144">
      <c r="A144" s="1" t="s">
        <v>1160</v>
      </c>
      <c r="B144" s="1" t="s">
        <v>550</v>
      </c>
      <c r="C144" s="1" t="s">
        <v>771</v>
      </c>
      <c r="D144" s="1" t="s">
        <v>771</v>
      </c>
      <c r="E144" s="1" t="s">
        <v>840</v>
      </c>
      <c r="F144" s="1" t="s">
        <v>62</v>
      </c>
      <c r="G144" s="1" t="s">
        <v>556</v>
      </c>
      <c r="H144" s="1" t="s">
        <v>215</v>
      </c>
      <c r="I144" s="11" t="str">
        <f t="array" ref="I144">_xlfn.XLOOKUP(B144,Tickets!A:A,Tickets!A:A)</f>
        <v>TKT-1779437242667</v>
      </c>
    </row>
    <row r="145">
      <c r="A145" s="1" t="s">
        <v>1161</v>
      </c>
      <c r="B145" s="1" t="s">
        <v>535</v>
      </c>
      <c r="C145" s="1" t="s">
        <v>280</v>
      </c>
      <c r="D145" s="1" t="s">
        <v>280</v>
      </c>
      <c r="E145" s="1" t="s">
        <v>1162</v>
      </c>
      <c r="F145" s="1" t="s">
        <v>93</v>
      </c>
      <c r="H145" s="1" t="s">
        <v>606</v>
      </c>
      <c r="I145" s="11" t="str">
        <f t="array" ref="I145">_xlfn.XLOOKUP(B145,Tickets!A:A,Tickets!A:A)</f>
        <v>TKT-1779178137478</v>
      </c>
    </row>
    <row r="146">
      <c r="A146" s="1" t="s">
        <v>1163</v>
      </c>
      <c r="B146" s="1" t="s">
        <v>543</v>
      </c>
      <c r="C146" s="1" t="s">
        <v>280</v>
      </c>
      <c r="D146" s="1" t="s">
        <v>280</v>
      </c>
      <c r="E146" s="1" t="s">
        <v>1164</v>
      </c>
      <c r="F146" s="1" t="s">
        <v>93</v>
      </c>
      <c r="H146" s="1" t="s">
        <v>606</v>
      </c>
      <c r="I146" s="11" t="str">
        <f t="array" ref="I146">_xlfn.XLOOKUP(B146,Tickets!A:A,Tickets!A:A)</f>
        <v>TKT-1779336387407</v>
      </c>
    </row>
    <row r="147">
      <c r="A147" s="1" t="s">
        <v>1165</v>
      </c>
      <c r="B147" s="1" t="s">
        <v>550</v>
      </c>
      <c r="C147" s="1" t="s">
        <v>280</v>
      </c>
      <c r="D147" s="1" t="s">
        <v>280</v>
      </c>
      <c r="E147" s="1" t="s">
        <v>1166</v>
      </c>
      <c r="F147" s="1" t="s">
        <v>93</v>
      </c>
      <c r="H147" s="1" t="s">
        <v>606</v>
      </c>
      <c r="I147" s="11" t="str">
        <f t="array" ref="I147">_xlfn.XLOOKUP(B147,Tickets!A:A,Tickets!A:A)</f>
        <v>TKT-1779437242667</v>
      </c>
    </row>
    <row r="148">
      <c r="A148" s="1" t="s">
        <v>1167</v>
      </c>
      <c r="B148" s="1" t="s">
        <v>550</v>
      </c>
      <c r="C148" s="1" t="s">
        <v>280</v>
      </c>
      <c r="D148" s="1" t="s">
        <v>280</v>
      </c>
      <c r="E148" s="1" t="s">
        <v>557</v>
      </c>
      <c r="F148" s="1" t="s">
        <v>115</v>
      </c>
      <c r="H148" s="1" t="s">
        <v>606</v>
      </c>
      <c r="I148" s="11" t="str">
        <f t="array" ref="I148">_xlfn.XLOOKUP(B148,Tickets!A:A,Tickets!A:A)</f>
        <v>TKT-1779437242667</v>
      </c>
    </row>
    <row r="149">
      <c r="A149" s="1" t="s">
        <v>1168</v>
      </c>
      <c r="B149" s="1" t="s">
        <v>535</v>
      </c>
      <c r="C149" s="1" t="s">
        <v>280</v>
      </c>
      <c r="D149" s="1" t="s">
        <v>280</v>
      </c>
      <c r="E149" s="1" t="s">
        <v>541</v>
      </c>
      <c r="F149" s="1" t="s">
        <v>115</v>
      </c>
      <c r="H149" s="1" t="s">
        <v>606</v>
      </c>
      <c r="I149" s="11" t="str">
        <f t="array" ref="I149">_xlfn.XLOOKUP(B149,Tickets!A:A,Tickets!A:A)</f>
        <v>TKT-1779178137478</v>
      </c>
    </row>
    <row r="150">
      <c r="A150" s="1" t="s">
        <v>1169</v>
      </c>
      <c r="B150" s="1" t="s">
        <v>543</v>
      </c>
      <c r="C150" s="1" t="s">
        <v>280</v>
      </c>
      <c r="D150" s="1" t="s">
        <v>280</v>
      </c>
      <c r="E150" s="1" t="s">
        <v>548</v>
      </c>
      <c r="F150" s="1" t="s">
        <v>115</v>
      </c>
      <c r="H150" s="1" t="s">
        <v>606</v>
      </c>
      <c r="I150" s="11" t="str">
        <f t="array" ref="I150">_xlfn.XLOOKUP(B150,Tickets!A:A,Tickets!A:A)</f>
        <v>TKT-1779336387407</v>
      </c>
    </row>
    <row r="151">
      <c r="A151" s="1" t="s">
        <v>1170</v>
      </c>
      <c r="B151" s="1" t="s">
        <v>558</v>
      </c>
      <c r="C151" s="1" t="s">
        <v>910</v>
      </c>
      <c r="D151" s="1" t="s">
        <v>809</v>
      </c>
      <c r="E151" s="1" t="s">
        <v>560</v>
      </c>
      <c r="F151" s="1" t="s">
        <v>50</v>
      </c>
      <c r="G151" s="1" t="s">
        <v>559</v>
      </c>
      <c r="I151" s="11" t="str">
        <f t="array" ref="I151">_xlfn.XLOOKUP(B151,Tickets!A:A,Tickets!A:A)</f>
        <v>TKT-1779776573671</v>
      </c>
    </row>
    <row r="152">
      <c r="A152" s="1" t="s">
        <v>1171</v>
      </c>
      <c r="B152" s="1" t="s">
        <v>562</v>
      </c>
      <c r="C152" s="1" t="s">
        <v>910</v>
      </c>
      <c r="D152" s="1" t="s">
        <v>809</v>
      </c>
      <c r="E152" s="1" t="s">
        <v>568</v>
      </c>
      <c r="F152" s="1" t="s">
        <v>50</v>
      </c>
      <c r="G152" s="1" t="s">
        <v>567</v>
      </c>
      <c r="I152" s="11" t="str">
        <f t="array" ref="I152">_xlfn.XLOOKUP(B152,Tickets!A:A,Tickets!A:A)</f>
        <v>TKT-1779876975030</v>
      </c>
    </row>
    <row r="153">
      <c r="A153" s="1" t="s">
        <v>1172</v>
      </c>
      <c r="B153" s="1" t="s">
        <v>571</v>
      </c>
      <c r="C153" s="1" t="s">
        <v>910</v>
      </c>
      <c r="D153" s="1" t="s">
        <v>809</v>
      </c>
      <c r="E153" s="1" t="s">
        <v>573</v>
      </c>
      <c r="F153" s="1" t="s">
        <v>40</v>
      </c>
      <c r="G153" s="1" t="s">
        <v>572</v>
      </c>
      <c r="I153" s="11" t="str">
        <f t="array" ref="I153">_xlfn.XLOOKUP(B153,Tickets!A:A,Tickets!A:A)</f>
        <v>TKT-1779880791871</v>
      </c>
    </row>
    <row r="154">
      <c r="A154" s="1" t="s">
        <v>1173</v>
      </c>
      <c r="B154" s="1" t="s">
        <v>577</v>
      </c>
      <c r="C154" s="1" t="s">
        <v>910</v>
      </c>
      <c r="D154" s="1" t="s">
        <v>809</v>
      </c>
      <c r="E154" s="1" t="s">
        <v>581</v>
      </c>
      <c r="F154" s="1" t="s">
        <v>57</v>
      </c>
      <c r="G154" s="1" t="s">
        <v>580</v>
      </c>
      <c r="I154" s="11" t="str">
        <f t="array" ref="I154">_xlfn.XLOOKUP(B154,Tickets!A:A,Tickets!A:A)</f>
        <v>TKT-1779956511825</v>
      </c>
    </row>
    <row r="155">
      <c r="A155" s="1" t="s">
        <v>1174</v>
      </c>
      <c r="B155" s="1" t="s">
        <v>558</v>
      </c>
      <c r="C155" s="1" t="s">
        <v>771</v>
      </c>
      <c r="D155" s="1" t="s">
        <v>771</v>
      </c>
      <c r="E155" s="1" t="s">
        <v>841</v>
      </c>
      <c r="F155" s="1" t="s">
        <v>62</v>
      </c>
      <c r="H155" s="1" t="s">
        <v>215</v>
      </c>
      <c r="I155" s="11" t="str">
        <f t="array" ref="I155">_xlfn.XLOOKUP(B155,Tickets!A:A,Tickets!A:A)</f>
        <v>TKT-1779776573671</v>
      </c>
    </row>
    <row r="156">
      <c r="A156" s="1" t="s">
        <v>1175</v>
      </c>
      <c r="B156" s="1" t="s">
        <v>562</v>
      </c>
      <c r="C156" s="1" t="s">
        <v>771</v>
      </c>
      <c r="D156" s="1" t="s">
        <v>771</v>
      </c>
      <c r="E156" s="1" t="s">
        <v>844</v>
      </c>
      <c r="F156" s="1" t="s">
        <v>62</v>
      </c>
      <c r="G156" s="1" t="s">
        <v>569</v>
      </c>
      <c r="H156" s="1" t="s">
        <v>215</v>
      </c>
      <c r="I156" s="11" t="str">
        <f t="array" ref="I156">_xlfn.XLOOKUP(B156,Tickets!A:A,Tickets!A:A)</f>
        <v>TKT-1779876975030</v>
      </c>
    </row>
    <row r="157">
      <c r="A157" s="1" t="s">
        <v>1176</v>
      </c>
      <c r="B157" s="1" t="s">
        <v>571</v>
      </c>
      <c r="C157" s="1" t="s">
        <v>771</v>
      </c>
      <c r="D157" s="1" t="s">
        <v>771</v>
      </c>
      <c r="E157" s="1" t="s">
        <v>845</v>
      </c>
      <c r="F157" s="1" t="s">
        <v>62</v>
      </c>
      <c r="H157" s="1" t="s">
        <v>215</v>
      </c>
      <c r="I157" s="11" t="str">
        <f t="array" ref="I157">_xlfn.XLOOKUP(B157,Tickets!A:A,Tickets!A:A)</f>
        <v>TKT-1779880791871</v>
      </c>
    </row>
    <row r="158">
      <c r="A158" s="1" t="s">
        <v>1177</v>
      </c>
      <c r="B158" s="1" t="s">
        <v>585</v>
      </c>
      <c r="C158" s="1" t="s">
        <v>910</v>
      </c>
      <c r="D158" s="1" t="s">
        <v>809</v>
      </c>
      <c r="E158" s="1" t="s">
        <v>587</v>
      </c>
      <c r="F158" s="1" t="s">
        <v>40</v>
      </c>
      <c r="G158" s="1" t="s">
        <v>586</v>
      </c>
      <c r="I158" s="11" t="str">
        <f t="array" ref="I158">_xlfn.XLOOKUP(B158,Tickets!A:A,Tickets!A:A)</f>
        <v>TKT-1780305786573</v>
      </c>
    </row>
    <row r="159">
      <c r="A159" s="1" t="s">
        <v>1178</v>
      </c>
      <c r="B159" s="1" t="s">
        <v>585</v>
      </c>
      <c r="C159" s="1" t="s">
        <v>771</v>
      </c>
      <c r="D159" s="1" t="s">
        <v>771</v>
      </c>
      <c r="E159" s="1" t="s">
        <v>847</v>
      </c>
      <c r="F159" s="1" t="s">
        <v>62</v>
      </c>
      <c r="H159" s="1" t="s">
        <v>215</v>
      </c>
      <c r="I159" s="11" t="str">
        <f t="array" ref="I159">_xlfn.XLOOKUP(B159,Tickets!A:A,Tickets!A:A)</f>
        <v>TKT-1780305786573</v>
      </c>
    </row>
    <row r="160">
      <c r="A160" s="1" t="s">
        <v>1179</v>
      </c>
      <c r="B160" s="1" t="s">
        <v>589</v>
      </c>
      <c r="C160" s="1" t="s">
        <v>910</v>
      </c>
      <c r="D160" s="1" t="s">
        <v>809</v>
      </c>
      <c r="E160" s="1" t="s">
        <v>591</v>
      </c>
      <c r="F160" s="1" t="s">
        <v>62</v>
      </c>
      <c r="G160" s="1" t="s">
        <v>590</v>
      </c>
      <c r="I160" s="11" t="str">
        <f t="array" ref="I160">_xlfn.XLOOKUP(B160,Tickets!A:A,Tickets!A:A)</f>
        <v>TKT-1780308974303</v>
      </c>
    </row>
    <row r="161">
      <c r="A161" s="1" t="s">
        <v>1180</v>
      </c>
      <c r="B161" s="1" t="s">
        <v>589</v>
      </c>
      <c r="C161" s="1" t="s">
        <v>771</v>
      </c>
      <c r="D161" s="1" t="s">
        <v>771</v>
      </c>
      <c r="E161" s="1" t="s">
        <v>849</v>
      </c>
      <c r="F161" s="1" t="s">
        <v>62</v>
      </c>
      <c r="G161" s="1" t="s">
        <v>592</v>
      </c>
      <c r="H161" s="1" t="s">
        <v>215</v>
      </c>
      <c r="I161" s="11" t="str">
        <f t="array" ref="I161">_xlfn.XLOOKUP(B161,Tickets!A:A,Tickets!A:A)</f>
        <v>TKT-1780308974303</v>
      </c>
    </row>
    <row r="162">
      <c r="A162" s="1" t="s">
        <v>1181</v>
      </c>
      <c r="B162" s="1" t="s">
        <v>594</v>
      </c>
      <c r="C162" s="1" t="s">
        <v>910</v>
      </c>
      <c r="D162" s="1" t="s">
        <v>809</v>
      </c>
      <c r="E162" s="1" t="s">
        <v>596</v>
      </c>
      <c r="F162" s="1" t="s">
        <v>69</v>
      </c>
      <c r="G162" s="1" t="s">
        <v>595</v>
      </c>
      <c r="I162" s="11" t="str">
        <f t="array" ref="I162">_xlfn.XLOOKUP(B162,Tickets!A:A,Tickets!A:A)</f>
        <v>TKT-1780539510415</v>
      </c>
    </row>
    <row r="163">
      <c r="A163" s="1" t="s">
        <v>1182</v>
      </c>
      <c r="B163" s="1" t="s">
        <v>594</v>
      </c>
      <c r="C163" s="1" t="s">
        <v>771</v>
      </c>
      <c r="D163" s="1" t="s">
        <v>771</v>
      </c>
      <c r="E163" s="1" t="s">
        <v>850</v>
      </c>
      <c r="F163" s="1" t="s">
        <v>62</v>
      </c>
      <c r="G163" s="1" t="s">
        <v>597</v>
      </c>
      <c r="H163" s="1" t="s">
        <v>215</v>
      </c>
      <c r="I163" s="11" t="str">
        <f t="array" ref="I163">_xlfn.XLOOKUP(B163,Tickets!A:A,Tickets!A:A)</f>
        <v>TKT-1780539510415</v>
      </c>
    </row>
    <row r="164">
      <c r="A164" s="1" t="s">
        <v>1183</v>
      </c>
      <c r="B164" s="1" t="s">
        <v>599</v>
      </c>
      <c r="C164" s="1" t="s">
        <v>910</v>
      </c>
      <c r="D164" s="1" t="s">
        <v>809</v>
      </c>
      <c r="E164" s="1" t="s">
        <v>601</v>
      </c>
      <c r="F164" s="1" t="s">
        <v>69</v>
      </c>
      <c r="G164" s="1" t="s">
        <v>600</v>
      </c>
      <c r="I164" s="11" t="str">
        <f t="array" ref="I164">_xlfn.XLOOKUP(B164,Tickets!A:A,Tickets!A:A)</f>
        <v>TKT-1781075113062</v>
      </c>
    </row>
    <row r="165">
      <c r="A165" s="1" t="s">
        <v>1184</v>
      </c>
      <c r="B165" s="1" t="s">
        <v>605</v>
      </c>
      <c r="C165" s="1" t="s">
        <v>910</v>
      </c>
      <c r="D165" s="1" t="s">
        <v>809</v>
      </c>
      <c r="E165" s="1" t="s">
        <v>609</v>
      </c>
      <c r="F165" s="1" t="s">
        <v>57</v>
      </c>
      <c r="G165" s="1" t="s">
        <v>608</v>
      </c>
      <c r="I165" s="11" t="str">
        <f t="array" ref="I165">_xlfn.XLOOKUP(B165,Tickets!A:A,Tickets!A:A)</f>
        <v>TKT-1781083706105</v>
      </c>
    </row>
    <row r="166">
      <c r="A166" s="1" t="s">
        <v>1185</v>
      </c>
      <c r="B166" s="1" t="s">
        <v>577</v>
      </c>
      <c r="C166" s="1" t="s">
        <v>771</v>
      </c>
      <c r="D166" s="1" t="s">
        <v>771</v>
      </c>
      <c r="E166" s="1" t="s">
        <v>852</v>
      </c>
      <c r="F166" s="1" t="s">
        <v>62</v>
      </c>
      <c r="H166" s="1" t="s">
        <v>215</v>
      </c>
      <c r="I166" s="11" t="str">
        <f t="array" ref="I166">_xlfn.XLOOKUP(B166,Tickets!A:A,Tickets!A:A)</f>
        <v>TKT-1779956511825</v>
      </c>
    </row>
    <row r="167">
      <c r="A167" s="1" t="s">
        <v>1186</v>
      </c>
      <c r="B167" s="1" t="s">
        <v>599</v>
      </c>
      <c r="C167" s="1" t="s">
        <v>771</v>
      </c>
      <c r="D167" s="1" t="s">
        <v>771</v>
      </c>
      <c r="E167" s="1" t="s">
        <v>854</v>
      </c>
      <c r="F167" s="1" t="s">
        <v>62</v>
      </c>
      <c r="H167" s="1" t="s">
        <v>215</v>
      </c>
      <c r="I167" s="11" t="str">
        <f t="array" ref="I167">_xlfn.XLOOKUP(B167,Tickets!A:A,Tickets!A:A)</f>
        <v>TKT-1781075113062</v>
      </c>
    </row>
    <row r="168">
      <c r="A168" s="1" t="s">
        <v>1187</v>
      </c>
      <c r="B168" s="1" t="s">
        <v>605</v>
      </c>
      <c r="C168" s="1" t="s">
        <v>771</v>
      </c>
      <c r="D168" s="1" t="s">
        <v>771</v>
      </c>
      <c r="E168" s="1" t="s">
        <v>856</v>
      </c>
      <c r="F168" s="1" t="s">
        <v>62</v>
      </c>
      <c r="H168" s="1" t="s">
        <v>215</v>
      </c>
      <c r="I168" s="11" t="str">
        <f t="array" ref="I168">_xlfn.XLOOKUP(B168,Tickets!A:A,Tickets!A:A)</f>
        <v>TKT-1781083706105</v>
      </c>
    </row>
    <row r="169">
      <c r="A169" s="1" t="s">
        <v>1188</v>
      </c>
      <c r="B169" s="1" t="s">
        <v>558</v>
      </c>
      <c r="C169" s="1" t="s">
        <v>280</v>
      </c>
      <c r="D169" s="1" t="s">
        <v>280</v>
      </c>
      <c r="E169" s="1" t="s">
        <v>1189</v>
      </c>
      <c r="F169" s="1" t="s">
        <v>115</v>
      </c>
      <c r="H169" s="1" t="s">
        <v>925</v>
      </c>
      <c r="I169" s="11" t="str">
        <f t="array" ref="I169">_xlfn.XLOOKUP(B169,Tickets!A:A,Tickets!A:A)</f>
        <v>TKT-1779776573671</v>
      </c>
    </row>
    <row r="170">
      <c r="A170" s="1" t="s">
        <v>1190</v>
      </c>
      <c r="B170" s="1" t="s">
        <v>562</v>
      </c>
      <c r="C170" s="1" t="s">
        <v>280</v>
      </c>
      <c r="D170" s="1" t="s">
        <v>280</v>
      </c>
      <c r="E170" s="1" t="s">
        <v>1191</v>
      </c>
      <c r="F170" s="1" t="s">
        <v>115</v>
      </c>
      <c r="H170" s="1" t="s">
        <v>925</v>
      </c>
      <c r="I170" s="11" t="str">
        <f t="array" ref="I170">_xlfn.XLOOKUP(B170,Tickets!A:A,Tickets!A:A)</f>
        <v>TKT-1779876975030</v>
      </c>
    </row>
    <row r="171">
      <c r="A171" s="1" t="s">
        <v>1192</v>
      </c>
      <c r="B171" s="1" t="s">
        <v>571</v>
      </c>
      <c r="C171" s="1" t="s">
        <v>280</v>
      </c>
      <c r="D171" s="1" t="s">
        <v>280</v>
      </c>
      <c r="E171" s="1" t="s">
        <v>1193</v>
      </c>
      <c r="F171" s="1" t="s">
        <v>115</v>
      </c>
      <c r="H171" s="1" t="s">
        <v>925</v>
      </c>
      <c r="I171" s="11" t="str">
        <f t="array" ref="I171">_xlfn.XLOOKUP(B171,Tickets!A:A,Tickets!A:A)</f>
        <v>TKT-1779880791871</v>
      </c>
    </row>
    <row r="172">
      <c r="A172" s="1" t="s">
        <v>1194</v>
      </c>
      <c r="B172" s="1" t="s">
        <v>577</v>
      </c>
      <c r="C172" s="1" t="s">
        <v>280</v>
      </c>
      <c r="D172" s="1" t="s">
        <v>280</v>
      </c>
      <c r="E172" s="1" t="s">
        <v>1195</v>
      </c>
      <c r="F172" s="1" t="s">
        <v>115</v>
      </c>
      <c r="H172" s="1" t="s">
        <v>925</v>
      </c>
      <c r="I172" s="11" t="str">
        <f t="array" ref="I172">_xlfn.XLOOKUP(B172,Tickets!A:A,Tickets!A:A)</f>
        <v>TKT-1779956511825</v>
      </c>
    </row>
    <row r="173">
      <c r="A173" s="1" t="s">
        <v>1196</v>
      </c>
      <c r="B173" s="1" t="s">
        <v>585</v>
      </c>
      <c r="C173" s="1" t="s">
        <v>280</v>
      </c>
      <c r="D173" s="1" t="s">
        <v>280</v>
      </c>
      <c r="E173" s="1" t="s">
        <v>1197</v>
      </c>
      <c r="F173" s="1" t="s">
        <v>115</v>
      </c>
      <c r="H173" s="1" t="s">
        <v>925</v>
      </c>
      <c r="I173" s="11" t="str">
        <f t="array" ref="I173">_xlfn.XLOOKUP(B173,Tickets!A:A,Tickets!A:A)</f>
        <v>TKT-1780305786573</v>
      </c>
    </row>
    <row r="174">
      <c r="A174" s="1" t="s">
        <v>1198</v>
      </c>
      <c r="B174" s="1" t="s">
        <v>605</v>
      </c>
      <c r="C174" s="1" t="s">
        <v>280</v>
      </c>
      <c r="D174" s="1" t="s">
        <v>280</v>
      </c>
      <c r="E174" s="1" t="s">
        <v>1199</v>
      </c>
      <c r="F174" s="1" t="s">
        <v>115</v>
      </c>
      <c r="H174" s="1" t="s">
        <v>925</v>
      </c>
      <c r="I174" s="11" t="str">
        <f t="array" ref="I174">_xlfn.XLOOKUP(B174,Tickets!A:A,Tickets!A:A)</f>
        <v>TKT-1781083706105</v>
      </c>
    </row>
    <row r="175">
      <c r="A175" s="1" t="s">
        <v>1200</v>
      </c>
      <c r="B175" s="1" t="s">
        <v>589</v>
      </c>
      <c r="C175" s="1" t="s">
        <v>280</v>
      </c>
      <c r="D175" s="1" t="s">
        <v>280</v>
      </c>
      <c r="E175" s="1" t="s">
        <v>1201</v>
      </c>
      <c r="F175" s="1" t="s">
        <v>115</v>
      </c>
      <c r="H175" s="1" t="s">
        <v>925</v>
      </c>
      <c r="I175" s="11" t="str">
        <f t="array" ref="I175">_xlfn.XLOOKUP(B175,Tickets!A:A,Tickets!A:A)</f>
        <v>TKT-1780308974303</v>
      </c>
    </row>
    <row r="176">
      <c r="A176" s="1" t="s">
        <v>1202</v>
      </c>
      <c r="B176" s="1" t="s">
        <v>594</v>
      </c>
      <c r="C176" s="1" t="s">
        <v>280</v>
      </c>
      <c r="D176" s="1" t="s">
        <v>280</v>
      </c>
      <c r="E176" s="1" t="s">
        <v>1203</v>
      </c>
      <c r="F176" s="1" t="s">
        <v>115</v>
      </c>
      <c r="H176" s="1" t="s">
        <v>925</v>
      </c>
      <c r="I176" s="11" t="str">
        <f t="array" ref="I176">_xlfn.XLOOKUP(B176,Tickets!A:A,Tickets!A:A)</f>
        <v>TKT-1780539510415</v>
      </c>
    </row>
    <row r="177">
      <c r="A177" s="1" t="s">
        <v>1204</v>
      </c>
      <c r="B177" s="1" t="s">
        <v>599</v>
      </c>
      <c r="C177" s="1" t="s">
        <v>280</v>
      </c>
      <c r="D177" s="1" t="s">
        <v>280</v>
      </c>
      <c r="E177" s="1" t="s">
        <v>1205</v>
      </c>
      <c r="F177" s="1" t="s">
        <v>115</v>
      </c>
      <c r="H177" s="1" t="s">
        <v>925</v>
      </c>
      <c r="I177" s="11" t="str">
        <f t="array" ref="I177">_xlfn.XLOOKUP(B177,Tickets!A:A,Tickets!A:A)</f>
        <v>TKT-1781075113062</v>
      </c>
    </row>
    <row r="178">
      <c r="A178" s="1" t="s">
        <v>1206</v>
      </c>
      <c r="B178" s="1" t="s">
        <v>612</v>
      </c>
      <c r="C178" s="1" t="s">
        <v>910</v>
      </c>
      <c r="D178" s="1" t="s">
        <v>809</v>
      </c>
      <c r="E178" s="1" t="s">
        <v>615</v>
      </c>
      <c r="F178" s="1" t="s">
        <v>57</v>
      </c>
      <c r="G178" s="1" t="s">
        <v>614</v>
      </c>
    </row>
    <row r="179">
      <c r="A179" s="1" t="s">
        <v>1207</v>
      </c>
      <c r="B179" s="1" t="s">
        <v>617</v>
      </c>
      <c r="C179" s="1" t="s">
        <v>910</v>
      </c>
      <c r="D179" s="1" t="s">
        <v>809</v>
      </c>
      <c r="E179" s="1" t="s">
        <v>620</v>
      </c>
      <c r="F179" s="1" t="s">
        <v>69</v>
      </c>
      <c r="G179" s="1" t="s">
        <v>619</v>
      </c>
    </row>
    <row r="180">
      <c r="A180" s="1" t="s">
        <v>1208</v>
      </c>
      <c r="B180" s="1" t="s">
        <v>624</v>
      </c>
      <c r="C180" s="1" t="s">
        <v>910</v>
      </c>
      <c r="D180" s="1" t="s">
        <v>809</v>
      </c>
      <c r="E180" s="1" t="s">
        <v>627</v>
      </c>
      <c r="F180" s="1" t="s">
        <v>40</v>
      </c>
      <c r="G180" s="1" t="s">
        <v>626</v>
      </c>
    </row>
    <row r="181">
      <c r="A181" s="1" t="s">
        <v>1209</v>
      </c>
      <c r="B181" s="1" t="s">
        <v>629</v>
      </c>
      <c r="C181" s="1" t="s">
        <v>910</v>
      </c>
      <c r="D181" s="1" t="s">
        <v>809</v>
      </c>
      <c r="E181" s="1" t="s">
        <v>633</v>
      </c>
      <c r="F181" s="1" t="s">
        <v>69</v>
      </c>
      <c r="G181" s="1" t="s">
        <v>631</v>
      </c>
    </row>
    <row r="182">
      <c r="A182" s="1" t="s">
        <v>1210</v>
      </c>
      <c r="B182" s="1" t="s">
        <v>624</v>
      </c>
      <c r="C182" s="1" t="s">
        <v>771</v>
      </c>
      <c r="D182" s="1" t="s">
        <v>771</v>
      </c>
      <c r="E182" s="1" t="s">
        <v>871</v>
      </c>
      <c r="F182" s="1" t="s">
        <v>62</v>
      </c>
      <c r="H182" s="1" t="s">
        <v>215</v>
      </c>
    </row>
    <row r="183">
      <c r="A183" s="1" t="s">
        <v>1211</v>
      </c>
      <c r="B183" s="1" t="s">
        <v>624</v>
      </c>
      <c r="C183" s="1" t="s">
        <v>280</v>
      </c>
      <c r="D183" s="1" t="s">
        <v>280</v>
      </c>
      <c r="E183" s="1" t="s">
        <v>1212</v>
      </c>
      <c r="F183" s="1" t="s">
        <v>115</v>
      </c>
      <c r="H183" s="1" t="s">
        <v>925</v>
      </c>
    </row>
    <row r="184">
      <c r="A184" s="1" t="s">
        <v>1213</v>
      </c>
      <c r="B184" s="1" t="s">
        <v>558</v>
      </c>
      <c r="C184" s="1" t="s">
        <v>280</v>
      </c>
      <c r="D184" s="1" t="s">
        <v>280</v>
      </c>
      <c r="E184" s="1" t="s">
        <v>561</v>
      </c>
      <c r="F184" s="1" t="s">
        <v>89</v>
      </c>
      <c r="H184" s="1" t="s">
        <v>990</v>
      </c>
    </row>
    <row r="185">
      <c r="A185" s="1" t="s">
        <v>1214</v>
      </c>
      <c r="B185" s="1" t="s">
        <v>562</v>
      </c>
      <c r="C185" s="1" t="s">
        <v>280</v>
      </c>
      <c r="D185" s="1" t="s">
        <v>280</v>
      </c>
      <c r="E185" s="1" t="s">
        <v>570</v>
      </c>
      <c r="F185" s="1" t="s">
        <v>89</v>
      </c>
      <c r="H185" s="1" t="s">
        <v>990</v>
      </c>
    </row>
    <row r="186">
      <c r="A186" s="1" t="s">
        <v>1215</v>
      </c>
      <c r="B186" s="1" t="s">
        <v>571</v>
      </c>
      <c r="C186" s="1" t="s">
        <v>280</v>
      </c>
      <c r="D186" s="1" t="s">
        <v>280</v>
      </c>
      <c r="E186" s="1" t="s">
        <v>574</v>
      </c>
      <c r="F186" s="1" t="s">
        <v>89</v>
      </c>
      <c r="H186" s="1" t="s">
        <v>990</v>
      </c>
    </row>
    <row r="187">
      <c r="A187" s="1" t="s">
        <v>1216</v>
      </c>
      <c r="B187" s="1" t="s">
        <v>577</v>
      </c>
      <c r="C187" s="1" t="s">
        <v>280</v>
      </c>
      <c r="D187" s="1" t="s">
        <v>280</v>
      </c>
      <c r="E187" s="1" t="s">
        <v>1217</v>
      </c>
      <c r="F187" s="1" t="s">
        <v>89</v>
      </c>
      <c r="H187" s="1" t="s">
        <v>990</v>
      </c>
    </row>
    <row r="188">
      <c r="A188" s="1" t="s">
        <v>1218</v>
      </c>
      <c r="B188" s="1" t="s">
        <v>585</v>
      </c>
      <c r="C188" s="1" t="s">
        <v>280</v>
      </c>
      <c r="D188" s="1" t="s">
        <v>280</v>
      </c>
      <c r="E188" s="1" t="s">
        <v>588</v>
      </c>
      <c r="F188" s="1" t="s">
        <v>89</v>
      </c>
      <c r="H188" s="1" t="s">
        <v>990</v>
      </c>
    </row>
    <row r="189">
      <c r="A189" s="1" t="s">
        <v>1219</v>
      </c>
      <c r="B189" s="1" t="s">
        <v>589</v>
      </c>
      <c r="C189" s="1" t="s">
        <v>280</v>
      </c>
      <c r="D189" s="1" t="s">
        <v>280</v>
      </c>
      <c r="E189" s="1" t="s">
        <v>593</v>
      </c>
      <c r="F189" s="1" t="s">
        <v>89</v>
      </c>
      <c r="H189" s="1" t="s">
        <v>990</v>
      </c>
    </row>
    <row r="190">
      <c r="A190" s="1" t="s">
        <v>1220</v>
      </c>
      <c r="B190" s="1" t="s">
        <v>594</v>
      </c>
      <c r="C190" s="1" t="s">
        <v>280</v>
      </c>
      <c r="D190" s="1" t="s">
        <v>280</v>
      </c>
      <c r="E190" s="1" t="s">
        <v>598</v>
      </c>
      <c r="F190" s="1" t="s">
        <v>89</v>
      </c>
      <c r="H190" s="1" t="s">
        <v>990</v>
      </c>
    </row>
    <row r="191">
      <c r="A191" s="1" t="s">
        <v>1221</v>
      </c>
      <c r="B191" s="1" t="s">
        <v>599</v>
      </c>
      <c r="C191" s="1" t="s">
        <v>280</v>
      </c>
      <c r="D191" s="1" t="s">
        <v>280</v>
      </c>
      <c r="E191" s="1" t="s">
        <v>602</v>
      </c>
      <c r="F191" s="1" t="s">
        <v>89</v>
      </c>
      <c r="H191" s="1" t="s">
        <v>990</v>
      </c>
    </row>
    <row r="192">
      <c r="A192" s="1" t="s">
        <v>1222</v>
      </c>
      <c r="B192" s="1" t="s">
        <v>605</v>
      </c>
      <c r="C192" s="1" t="s">
        <v>280</v>
      </c>
      <c r="D192" s="1" t="s">
        <v>280</v>
      </c>
      <c r="E192" s="1" t="s">
        <v>610</v>
      </c>
      <c r="F192" s="1" t="s">
        <v>89</v>
      </c>
      <c r="H192" s="1" t="s">
        <v>990</v>
      </c>
    </row>
    <row r="193">
      <c r="A193" s="1" t="s">
        <v>1223</v>
      </c>
      <c r="B193" s="1" t="s">
        <v>624</v>
      </c>
      <c r="C193" s="1" t="s">
        <v>280</v>
      </c>
      <c r="D193" s="1" t="s">
        <v>280</v>
      </c>
      <c r="E193" s="1" t="s">
        <v>628</v>
      </c>
      <c r="F193" s="1" t="s">
        <v>89</v>
      </c>
      <c r="H193" s="1" t="s">
        <v>990</v>
      </c>
    </row>
    <row r="194">
      <c r="A194" s="1" t="s">
        <v>1224</v>
      </c>
      <c r="B194" s="1" t="s">
        <v>612</v>
      </c>
      <c r="C194" s="1" t="s">
        <v>771</v>
      </c>
      <c r="D194" s="1" t="s">
        <v>771</v>
      </c>
      <c r="E194" s="1" t="s">
        <v>874</v>
      </c>
      <c r="F194" s="1" t="s">
        <v>62</v>
      </c>
      <c r="H194" s="1" t="s">
        <v>215</v>
      </c>
    </row>
    <row r="195">
      <c r="A195" s="1" t="s">
        <v>1225</v>
      </c>
      <c r="B195" s="1" t="s">
        <v>617</v>
      </c>
      <c r="C195" s="1" t="s">
        <v>771</v>
      </c>
      <c r="D195" s="1" t="s">
        <v>771</v>
      </c>
      <c r="E195" s="1" t="s">
        <v>875</v>
      </c>
      <c r="F195" s="1" t="s">
        <v>62</v>
      </c>
      <c r="G195" s="1" t="s">
        <v>622</v>
      </c>
      <c r="H195" s="1" t="s">
        <v>215</v>
      </c>
    </row>
    <row r="196">
      <c r="A196" s="1" t="s">
        <v>1226</v>
      </c>
      <c r="B196" s="1" t="s">
        <v>629</v>
      </c>
      <c r="C196" s="1" t="s">
        <v>771</v>
      </c>
      <c r="D196" s="1" t="s">
        <v>771</v>
      </c>
      <c r="E196" s="1" t="s">
        <v>876</v>
      </c>
      <c r="F196" s="1" t="s">
        <v>62</v>
      </c>
      <c r="G196" s="1" t="s">
        <v>634</v>
      </c>
      <c r="H196" s="1" t="s">
        <v>215</v>
      </c>
    </row>
    <row r="197">
      <c r="A197" s="1" t="s">
        <v>1227</v>
      </c>
      <c r="B197" s="1" t="s">
        <v>636</v>
      </c>
      <c r="C197" s="1" t="s">
        <v>910</v>
      </c>
      <c r="D197" s="1" t="s">
        <v>809</v>
      </c>
      <c r="E197" s="1" t="s">
        <v>638</v>
      </c>
      <c r="F197" s="1" t="s">
        <v>50</v>
      </c>
      <c r="G197" s="1" t="s">
        <v>637</v>
      </c>
    </row>
    <row r="198">
      <c r="A198" s="1" t="s">
        <v>1228</v>
      </c>
      <c r="B198" s="1" t="s">
        <v>636</v>
      </c>
      <c r="C198" s="1" t="s">
        <v>771</v>
      </c>
      <c r="D198" s="1" t="s">
        <v>771</v>
      </c>
      <c r="E198" s="1" t="s">
        <v>877</v>
      </c>
      <c r="F198" s="1" t="s">
        <v>62</v>
      </c>
      <c r="G198" s="1" t="s">
        <v>639</v>
      </c>
      <c r="H198" s="1" t="s">
        <v>215</v>
      </c>
    </row>
    <row r="199">
      <c r="A199" s="1" t="s">
        <v>1229</v>
      </c>
      <c r="B199" s="1" t="s">
        <v>577</v>
      </c>
      <c r="C199" s="1" t="s">
        <v>583</v>
      </c>
      <c r="D199" s="1" t="s">
        <v>583</v>
      </c>
      <c r="E199" s="1" t="s">
        <v>878</v>
      </c>
      <c r="F199" s="1" t="s">
        <v>62</v>
      </c>
      <c r="G199" s="1" t="s">
        <v>584</v>
      </c>
      <c r="H199" s="1" t="s">
        <v>215</v>
      </c>
    </row>
    <row r="200">
      <c r="A200" s="1" t="s">
        <v>1230</v>
      </c>
      <c r="B200" s="1" t="s">
        <v>577</v>
      </c>
      <c r="C200" s="1" t="s">
        <v>583</v>
      </c>
      <c r="D200" s="1" t="s">
        <v>583</v>
      </c>
      <c r="E200" s="1" t="s">
        <v>582</v>
      </c>
      <c r="F200" s="1" t="s">
        <v>62</v>
      </c>
      <c r="G200" s="1" t="s">
        <v>584</v>
      </c>
      <c r="H200" s="1" t="s">
        <v>215</v>
      </c>
    </row>
    <row r="201">
      <c r="A201" s="1" t="s">
        <v>1231</v>
      </c>
      <c r="B201" s="1" t="s">
        <v>612</v>
      </c>
      <c r="C201" s="1" t="s">
        <v>280</v>
      </c>
      <c r="D201" s="1" t="s">
        <v>280</v>
      </c>
      <c r="E201" s="1" t="s">
        <v>1232</v>
      </c>
      <c r="F201" s="1" t="s">
        <v>115</v>
      </c>
      <c r="H201" s="1" t="s">
        <v>925</v>
      </c>
    </row>
    <row r="202">
      <c r="A202" s="1" t="s">
        <v>1233</v>
      </c>
      <c r="B202" s="1" t="s">
        <v>617</v>
      </c>
      <c r="C202" s="1" t="s">
        <v>280</v>
      </c>
      <c r="D202" s="1" t="s">
        <v>280</v>
      </c>
      <c r="E202" s="1" t="s">
        <v>1234</v>
      </c>
      <c r="F202" s="1" t="s">
        <v>115</v>
      </c>
      <c r="H202" s="1" t="s">
        <v>925</v>
      </c>
    </row>
    <row r="203">
      <c r="A203" s="1" t="s">
        <v>1235</v>
      </c>
      <c r="B203" s="1" t="s">
        <v>629</v>
      </c>
      <c r="C203" s="1" t="s">
        <v>280</v>
      </c>
      <c r="D203" s="1" t="s">
        <v>280</v>
      </c>
      <c r="E203" s="1" t="s">
        <v>1236</v>
      </c>
      <c r="F203" s="1" t="s">
        <v>115</v>
      </c>
      <c r="H203" s="1" t="s">
        <v>925</v>
      </c>
    </row>
    <row r="204">
      <c r="A204" s="1" t="s">
        <v>1237</v>
      </c>
      <c r="B204" s="1" t="s">
        <v>641</v>
      </c>
      <c r="C204" s="1" t="s">
        <v>910</v>
      </c>
      <c r="D204" s="1" t="s">
        <v>809</v>
      </c>
      <c r="E204" s="1" t="s">
        <v>643</v>
      </c>
      <c r="F204" s="1" t="s">
        <v>128</v>
      </c>
      <c r="G204" s="1" t="s">
        <v>642</v>
      </c>
    </row>
    <row r="205">
      <c r="A205" s="1" t="s">
        <v>1238</v>
      </c>
      <c r="B205" s="1" t="s">
        <v>641</v>
      </c>
      <c r="C205" s="1" t="s">
        <v>771</v>
      </c>
      <c r="D205" s="1" t="s">
        <v>771</v>
      </c>
      <c r="E205" s="1" t="s">
        <v>880</v>
      </c>
      <c r="F205" s="1" t="s">
        <v>62</v>
      </c>
      <c r="H205" s="1" t="s">
        <v>215</v>
      </c>
    </row>
    <row r="206">
      <c r="A206" s="1" t="s">
        <v>1239</v>
      </c>
      <c r="B206" s="1" t="s">
        <v>645</v>
      </c>
      <c r="C206" s="1" t="s">
        <v>910</v>
      </c>
      <c r="D206" s="1" t="s">
        <v>809</v>
      </c>
      <c r="E206" s="1" t="s">
        <v>647</v>
      </c>
      <c r="F206" s="1" t="s">
        <v>134</v>
      </c>
      <c r="G206" s="1" t="s">
        <v>646</v>
      </c>
    </row>
    <row r="207">
      <c r="A207" s="1" t="s">
        <v>1240</v>
      </c>
      <c r="B207" s="1" t="s">
        <v>645</v>
      </c>
      <c r="C207" s="1" t="s">
        <v>771</v>
      </c>
      <c r="D207" s="1" t="s">
        <v>771</v>
      </c>
      <c r="E207" s="1" t="s">
        <v>883</v>
      </c>
      <c r="F207" s="1" t="s">
        <v>62</v>
      </c>
      <c r="H207" s="1" t="s">
        <v>215</v>
      </c>
    </row>
    <row r="208">
      <c r="A208" s="1" t="s">
        <v>1241</v>
      </c>
      <c r="B208" s="1" t="s">
        <v>645</v>
      </c>
      <c r="C208" s="1" t="s">
        <v>280</v>
      </c>
      <c r="D208" s="1" t="s">
        <v>280</v>
      </c>
      <c r="E208" s="1" t="s">
        <v>1242</v>
      </c>
      <c r="F208" s="1" t="s">
        <v>115</v>
      </c>
      <c r="H208" s="1" t="s">
        <v>925</v>
      </c>
    </row>
    <row r="209">
      <c r="A209" s="1" t="s">
        <v>1243</v>
      </c>
      <c r="B209" s="1" t="s">
        <v>641</v>
      </c>
      <c r="C209" s="1" t="s">
        <v>280</v>
      </c>
      <c r="D209" s="1" t="s">
        <v>280</v>
      </c>
      <c r="E209" s="1" t="s">
        <v>1244</v>
      </c>
      <c r="F209" s="1" t="s">
        <v>115</v>
      </c>
      <c r="H209" s="1" t="s">
        <v>925</v>
      </c>
    </row>
    <row r="210">
      <c r="A210" s="1" t="s">
        <v>1245</v>
      </c>
      <c r="B210" s="1" t="s">
        <v>636</v>
      </c>
      <c r="C210" s="1" t="s">
        <v>280</v>
      </c>
      <c r="D210" s="1" t="s">
        <v>280</v>
      </c>
      <c r="E210" s="1" t="s">
        <v>1246</v>
      </c>
      <c r="F210" s="1" t="s">
        <v>115</v>
      </c>
      <c r="H210" s="1" t="s">
        <v>925</v>
      </c>
    </row>
    <row r="211">
      <c r="A211" s="1" t="s">
        <v>1247</v>
      </c>
      <c r="B211" s="1" t="s">
        <v>612</v>
      </c>
      <c r="C211" s="1" t="s">
        <v>280</v>
      </c>
      <c r="D211" s="1" t="s">
        <v>280</v>
      </c>
      <c r="E211" s="1" t="s">
        <v>616</v>
      </c>
      <c r="F211" s="1" t="s">
        <v>89</v>
      </c>
      <c r="H211" s="1" t="s">
        <v>990</v>
      </c>
    </row>
    <row r="212">
      <c r="A212" s="1" t="s">
        <v>1248</v>
      </c>
      <c r="B212" s="1" t="s">
        <v>617</v>
      </c>
      <c r="C212" s="1" t="s">
        <v>280</v>
      </c>
      <c r="D212" s="1" t="s">
        <v>280</v>
      </c>
      <c r="E212" s="1" t="s">
        <v>623</v>
      </c>
      <c r="F212" s="1" t="s">
        <v>89</v>
      </c>
      <c r="H212" s="1" t="s">
        <v>990</v>
      </c>
    </row>
    <row r="213">
      <c r="A213" s="1" t="s">
        <v>1249</v>
      </c>
      <c r="B213" s="1" t="s">
        <v>629</v>
      </c>
      <c r="C213" s="1" t="s">
        <v>280</v>
      </c>
      <c r="D213" s="1" t="s">
        <v>280</v>
      </c>
      <c r="E213" s="1" t="s">
        <v>635</v>
      </c>
      <c r="F213" s="1" t="s">
        <v>89</v>
      </c>
      <c r="H213" s="1" t="s">
        <v>990</v>
      </c>
    </row>
    <row r="214">
      <c r="A214" s="1" t="s">
        <v>1250</v>
      </c>
      <c r="B214" s="1" t="s">
        <v>636</v>
      </c>
      <c r="C214" s="1" t="s">
        <v>280</v>
      </c>
      <c r="D214" s="1" t="s">
        <v>280</v>
      </c>
      <c r="E214" s="1" t="s">
        <v>640</v>
      </c>
      <c r="F214" s="1" t="s">
        <v>89</v>
      </c>
      <c r="H214" s="1" t="s">
        <v>990</v>
      </c>
    </row>
    <row r="215">
      <c r="A215" s="1" t="s">
        <v>1251</v>
      </c>
      <c r="B215" s="1" t="s">
        <v>641</v>
      </c>
      <c r="C215" s="1" t="s">
        <v>280</v>
      </c>
      <c r="D215" s="1" t="s">
        <v>280</v>
      </c>
      <c r="E215" s="1" t="s">
        <v>644</v>
      </c>
      <c r="F215" s="1" t="s">
        <v>89</v>
      </c>
      <c r="H215" s="1" t="s">
        <v>990</v>
      </c>
    </row>
    <row r="216">
      <c r="A216" s="1" t="s">
        <v>1252</v>
      </c>
      <c r="B216" s="1" t="s">
        <v>645</v>
      </c>
      <c r="C216" s="1" t="s">
        <v>280</v>
      </c>
      <c r="D216" s="1" t="s">
        <v>280</v>
      </c>
      <c r="E216" s="1" t="s">
        <v>648</v>
      </c>
      <c r="F216" s="1" t="s">
        <v>89</v>
      </c>
      <c r="H216" s="1" t="s">
        <v>990</v>
      </c>
    </row>
    <row r="217">
      <c r="A217" s="1" t="s">
        <v>1253</v>
      </c>
      <c r="B217" s="1" t="s">
        <v>649</v>
      </c>
      <c r="C217" s="1" t="s">
        <v>910</v>
      </c>
      <c r="D217" s="1" t="s">
        <v>809</v>
      </c>
      <c r="E217" s="1" t="s">
        <v>651</v>
      </c>
      <c r="F217" s="1" t="s">
        <v>69</v>
      </c>
      <c r="G217" s="1" t="s">
        <v>650</v>
      </c>
    </row>
    <row r="218">
      <c r="A218" s="1" t="s">
        <v>1254</v>
      </c>
      <c r="B218" s="1" t="s">
        <v>654</v>
      </c>
      <c r="C218" s="1" t="s">
        <v>910</v>
      </c>
      <c r="D218" s="1" t="s">
        <v>809</v>
      </c>
      <c r="E218" s="1" t="s">
        <v>656</v>
      </c>
      <c r="F218" s="1" t="s">
        <v>69</v>
      </c>
      <c r="G218" s="1" t="s">
        <v>655</v>
      </c>
    </row>
    <row r="219">
      <c r="A219" s="1" t="s">
        <v>1255</v>
      </c>
      <c r="B219" s="1" t="s">
        <v>649</v>
      </c>
      <c r="C219" s="1" t="s">
        <v>771</v>
      </c>
      <c r="D219" s="1" t="s">
        <v>771</v>
      </c>
      <c r="E219" s="1" t="s">
        <v>884</v>
      </c>
      <c r="F219" s="1" t="s">
        <v>62</v>
      </c>
      <c r="H219" s="1" t="s">
        <v>215</v>
      </c>
    </row>
    <row r="220">
      <c r="A220" s="1" t="s">
        <v>1256</v>
      </c>
      <c r="B220" s="1" t="s">
        <v>654</v>
      </c>
      <c r="C220" s="1" t="s">
        <v>771</v>
      </c>
      <c r="D220" s="1" t="s">
        <v>771</v>
      </c>
      <c r="E220" s="1" t="s">
        <v>888</v>
      </c>
      <c r="F220" s="1" t="s">
        <v>62</v>
      </c>
      <c r="H220" s="1" t="s">
        <v>215</v>
      </c>
    </row>
    <row r="221">
      <c r="A221" s="1" t="s">
        <v>1257</v>
      </c>
      <c r="B221" s="1" t="s">
        <v>658</v>
      </c>
      <c r="C221" s="1" t="s">
        <v>910</v>
      </c>
      <c r="D221" s="1" t="s">
        <v>809</v>
      </c>
      <c r="E221" s="1" t="s">
        <v>1258</v>
      </c>
      <c r="F221" s="1" t="s">
        <v>134</v>
      </c>
      <c r="G221" s="1" t="s">
        <v>659</v>
      </c>
    </row>
    <row r="222">
      <c r="A222" s="1" t="s">
        <v>1259</v>
      </c>
      <c r="B222" s="1" t="s">
        <v>658</v>
      </c>
      <c r="C222" s="1" t="s">
        <v>771</v>
      </c>
      <c r="D222" s="1" t="s">
        <v>771</v>
      </c>
      <c r="E222" s="1" t="s">
        <v>892</v>
      </c>
      <c r="F222" s="1" t="s">
        <v>62</v>
      </c>
      <c r="H222" s="1" t="s">
        <v>215</v>
      </c>
    </row>
    <row r="223">
      <c r="A223" s="1" t="s">
        <v>1260</v>
      </c>
      <c r="B223" s="1" t="s">
        <v>662</v>
      </c>
      <c r="C223" s="1" t="s">
        <v>910</v>
      </c>
      <c r="D223" s="1" t="s">
        <v>809</v>
      </c>
      <c r="E223" s="1" t="s">
        <v>664</v>
      </c>
      <c r="F223" s="1" t="s">
        <v>134</v>
      </c>
      <c r="G223" s="1" t="s">
        <v>663</v>
      </c>
    </row>
    <row r="224">
      <c r="A224" s="1" t="s">
        <v>1261</v>
      </c>
      <c r="B224" s="1" t="s">
        <v>662</v>
      </c>
      <c r="C224" s="1" t="s">
        <v>771</v>
      </c>
      <c r="D224" s="1" t="s">
        <v>771</v>
      </c>
      <c r="E224" s="1" t="s">
        <v>893</v>
      </c>
      <c r="F224" s="1" t="s">
        <v>62</v>
      </c>
      <c r="H224" s="1" t="s">
        <v>215</v>
      </c>
    </row>
    <row r="225">
      <c r="A225" s="1" t="s">
        <v>1262</v>
      </c>
      <c r="B225" s="1" t="s">
        <v>649</v>
      </c>
      <c r="C225" s="1" t="s">
        <v>280</v>
      </c>
      <c r="D225" s="1" t="s">
        <v>280</v>
      </c>
      <c r="E225" s="1" t="s">
        <v>1263</v>
      </c>
      <c r="F225" s="1" t="s">
        <v>115</v>
      </c>
      <c r="H225" s="1" t="s">
        <v>925</v>
      </c>
    </row>
    <row r="226">
      <c r="A226" s="1" t="s">
        <v>1264</v>
      </c>
      <c r="B226" s="1" t="s">
        <v>654</v>
      </c>
      <c r="C226" s="1" t="s">
        <v>280</v>
      </c>
      <c r="D226" s="1" t="s">
        <v>280</v>
      </c>
      <c r="E226" s="1" t="s">
        <v>1265</v>
      </c>
      <c r="F226" s="1" t="s">
        <v>115</v>
      </c>
      <c r="H226" s="1" t="s">
        <v>925</v>
      </c>
    </row>
    <row r="227">
      <c r="A227" s="1" t="s">
        <v>1266</v>
      </c>
      <c r="B227" s="1" t="s">
        <v>658</v>
      </c>
      <c r="C227" s="1" t="s">
        <v>280</v>
      </c>
      <c r="D227" s="1" t="s">
        <v>280</v>
      </c>
      <c r="E227" s="1" t="s">
        <v>1267</v>
      </c>
      <c r="F227" s="1" t="s">
        <v>115</v>
      </c>
      <c r="H227" s="1" t="s">
        <v>925</v>
      </c>
    </row>
    <row r="228">
      <c r="A228" s="1" t="s">
        <v>1268</v>
      </c>
      <c r="B228" s="1" t="s">
        <v>662</v>
      </c>
      <c r="C228" s="1" t="s">
        <v>280</v>
      </c>
      <c r="D228" s="1" t="s">
        <v>280</v>
      </c>
      <c r="E228" s="1" t="s">
        <v>1269</v>
      </c>
      <c r="F228" s="1" t="s">
        <v>115</v>
      </c>
      <c r="H228" s="1" t="s">
        <v>925</v>
      </c>
    </row>
    <row r="229">
      <c r="A229" s="1" t="s">
        <v>1270</v>
      </c>
      <c r="B229" s="1" t="s">
        <v>662</v>
      </c>
      <c r="C229" s="1" t="s">
        <v>280</v>
      </c>
      <c r="D229" s="1" t="s">
        <v>280</v>
      </c>
      <c r="E229" s="1" t="s">
        <v>665</v>
      </c>
      <c r="F229" s="1" t="s">
        <v>89</v>
      </c>
      <c r="G229" s="1" t="s">
        <v>652</v>
      </c>
      <c r="H229" s="1" t="s">
        <v>990</v>
      </c>
    </row>
    <row r="230">
      <c r="A230" s="1" t="s">
        <v>1271</v>
      </c>
      <c r="B230" s="1" t="s">
        <v>658</v>
      </c>
      <c r="C230" s="1" t="s">
        <v>280</v>
      </c>
      <c r="D230" s="1" t="s">
        <v>280</v>
      </c>
      <c r="E230" s="1" t="s">
        <v>1272</v>
      </c>
      <c r="F230" s="1" t="s">
        <v>89</v>
      </c>
      <c r="G230" s="1" t="s">
        <v>652</v>
      </c>
      <c r="H230" s="1" t="s">
        <v>990</v>
      </c>
    </row>
    <row r="231">
      <c r="A231" s="1" t="s">
        <v>1273</v>
      </c>
      <c r="B231" s="1" t="s">
        <v>654</v>
      </c>
      <c r="C231" s="1" t="s">
        <v>280</v>
      </c>
      <c r="D231" s="1" t="s">
        <v>280</v>
      </c>
      <c r="E231" s="1" t="s">
        <v>657</v>
      </c>
      <c r="F231" s="1" t="s">
        <v>89</v>
      </c>
      <c r="G231" s="1" t="s">
        <v>652</v>
      </c>
      <c r="H231" s="1" t="s">
        <v>990</v>
      </c>
    </row>
    <row r="232">
      <c r="A232" s="1" t="s">
        <v>1274</v>
      </c>
      <c r="B232" s="1" t="s">
        <v>649</v>
      </c>
      <c r="C232" s="1" t="s">
        <v>280</v>
      </c>
      <c r="D232" s="1" t="s">
        <v>280</v>
      </c>
      <c r="E232" s="1" t="s">
        <v>653</v>
      </c>
      <c r="F232" s="1" t="s">
        <v>89</v>
      </c>
      <c r="G232" s="1" t="s">
        <v>652</v>
      </c>
      <c r="H232" s="1" t="s">
        <v>990</v>
      </c>
    </row>
    <row r="233">
      <c r="A233" s="1" t="s">
        <v>1275</v>
      </c>
      <c r="B233" s="1" t="s">
        <v>666</v>
      </c>
      <c r="C233" s="1" t="s">
        <v>910</v>
      </c>
      <c r="D233" s="1" t="s">
        <v>809</v>
      </c>
      <c r="E233" s="1" t="s">
        <v>668</v>
      </c>
      <c r="F233" s="1" t="s">
        <v>112</v>
      </c>
      <c r="G233" s="1" t="s">
        <v>554</v>
      </c>
    </row>
    <row r="234">
      <c r="A234" s="1" t="s">
        <v>1276</v>
      </c>
      <c r="B234" s="1" t="s">
        <v>672</v>
      </c>
      <c r="C234" s="1" t="s">
        <v>910</v>
      </c>
      <c r="D234" s="1" t="s">
        <v>809</v>
      </c>
      <c r="E234" s="1" t="s">
        <v>674</v>
      </c>
      <c r="F234" s="1" t="s">
        <v>69</v>
      </c>
      <c r="G234" s="1" t="s">
        <v>673</v>
      </c>
    </row>
    <row r="235">
      <c r="A235" s="1" t="s">
        <v>1277</v>
      </c>
      <c r="B235" s="1" t="s">
        <v>672</v>
      </c>
      <c r="C235" s="1" t="s">
        <v>771</v>
      </c>
      <c r="D235" s="1" t="s">
        <v>771</v>
      </c>
      <c r="E235" s="1" t="s">
        <v>894</v>
      </c>
      <c r="F235" s="1" t="s">
        <v>62</v>
      </c>
      <c r="H235" s="1" t="s">
        <v>215</v>
      </c>
    </row>
    <row r="236">
      <c r="A236" s="1" t="s">
        <v>1278</v>
      </c>
      <c r="B236" s="1" t="s">
        <v>666</v>
      </c>
      <c r="C236" s="1" t="s">
        <v>771</v>
      </c>
      <c r="D236" s="1" t="s">
        <v>771</v>
      </c>
      <c r="E236" s="1" t="s">
        <v>895</v>
      </c>
      <c r="F236" s="1" t="s">
        <v>62</v>
      </c>
      <c r="H236" s="1" t="s">
        <v>215</v>
      </c>
    </row>
    <row r="237">
      <c r="A237" s="1" t="s">
        <v>1279</v>
      </c>
      <c r="B237" s="1" t="s">
        <v>666</v>
      </c>
      <c r="C237" s="1" t="s">
        <v>280</v>
      </c>
      <c r="D237" s="1" t="s">
        <v>280</v>
      </c>
      <c r="E237" s="1" t="s">
        <v>1280</v>
      </c>
      <c r="F237" s="1" t="s">
        <v>115</v>
      </c>
      <c r="H237" s="1" t="s">
        <v>925</v>
      </c>
    </row>
    <row r="238">
      <c r="A238" s="1" t="s">
        <v>1281</v>
      </c>
      <c r="B238" s="1" t="s">
        <v>672</v>
      </c>
      <c r="C238" s="1" t="s">
        <v>280</v>
      </c>
      <c r="D238" s="1" t="s">
        <v>280</v>
      </c>
      <c r="E238" s="1" t="s">
        <v>1282</v>
      </c>
      <c r="F238" s="1" t="s">
        <v>115</v>
      </c>
      <c r="H238" s="1" t="s">
        <v>925</v>
      </c>
    </row>
    <row r="239">
      <c r="A239" s="1" t="s">
        <v>1283</v>
      </c>
      <c r="B239" s="1" t="s">
        <v>666</v>
      </c>
      <c r="C239" s="1" t="s">
        <v>280</v>
      </c>
      <c r="D239" s="1" t="s">
        <v>280</v>
      </c>
      <c r="E239" s="1" t="s">
        <v>669</v>
      </c>
      <c r="F239" s="1" t="s">
        <v>89</v>
      </c>
      <c r="H239" s="1" t="s">
        <v>990</v>
      </c>
    </row>
    <row r="240">
      <c r="A240" s="1" t="s">
        <v>1284</v>
      </c>
      <c r="B240" s="1" t="s">
        <v>672</v>
      </c>
      <c r="C240" s="1" t="s">
        <v>280</v>
      </c>
      <c r="D240" s="1" t="s">
        <v>280</v>
      </c>
      <c r="E240" s="1" t="s">
        <v>675</v>
      </c>
      <c r="F240" s="1" t="s">
        <v>89</v>
      </c>
      <c r="H240" s="1" t="s">
        <v>990</v>
      </c>
    </row>
    <row r="241">
      <c r="A241" s="1" t="s">
        <v>1285</v>
      </c>
      <c r="B241" s="1" t="s">
        <v>676</v>
      </c>
      <c r="C241" s="1" t="s">
        <v>910</v>
      </c>
      <c r="D241" s="1" t="s">
        <v>809</v>
      </c>
      <c r="E241" s="1" t="s">
        <v>678</v>
      </c>
      <c r="F241" s="1" t="s">
        <v>69</v>
      </c>
      <c r="G241" s="1" t="s">
        <v>677</v>
      </c>
    </row>
    <row r="242">
      <c r="A242" s="1" t="s">
        <v>1286</v>
      </c>
      <c r="B242" s="1" t="s">
        <v>676</v>
      </c>
      <c r="C242" s="1" t="s">
        <v>771</v>
      </c>
      <c r="D242" s="1" t="s">
        <v>771</v>
      </c>
      <c r="E242" s="1" t="s">
        <v>899</v>
      </c>
      <c r="F242" s="1" t="s">
        <v>62</v>
      </c>
      <c r="G242" s="1" t="s">
        <v>679</v>
      </c>
      <c r="H242" s="1" t="s">
        <v>215</v>
      </c>
    </row>
    <row r="243">
      <c r="A243" s="1" t="s">
        <v>1287</v>
      </c>
      <c r="B243" s="1" t="s">
        <v>676</v>
      </c>
      <c r="C243" s="1" t="s">
        <v>280</v>
      </c>
      <c r="D243" s="1" t="s">
        <v>280</v>
      </c>
      <c r="E243" s="1" t="s">
        <v>1288</v>
      </c>
      <c r="F243" s="1" t="s">
        <v>82</v>
      </c>
      <c r="H243" s="1" t="s">
        <v>925</v>
      </c>
    </row>
    <row r="244">
      <c r="A244" s="1" t="s">
        <v>1289</v>
      </c>
      <c r="B244" s="1" t="s">
        <v>682</v>
      </c>
      <c r="C244" s="1" t="s">
        <v>910</v>
      </c>
      <c r="D244" s="1" t="s">
        <v>809</v>
      </c>
      <c r="E244" s="1" t="s">
        <v>684</v>
      </c>
      <c r="F244" s="1" t="s">
        <v>128</v>
      </c>
      <c r="G244" s="1" t="s">
        <v>683</v>
      </c>
    </row>
    <row r="245">
      <c r="A245" s="1" t="s">
        <v>1290</v>
      </c>
      <c r="B245" s="1" t="s">
        <v>686</v>
      </c>
      <c r="C245" s="1" t="s">
        <v>910</v>
      </c>
      <c r="D245" s="1" t="s">
        <v>809</v>
      </c>
      <c r="E245" s="1" t="s">
        <v>689</v>
      </c>
      <c r="F245" s="1" t="s">
        <v>134</v>
      </c>
      <c r="G245" s="1" t="s">
        <v>688</v>
      </c>
    </row>
    <row r="246">
      <c r="A246" s="1" t="s">
        <v>1291</v>
      </c>
      <c r="B246" s="1" t="s">
        <v>682</v>
      </c>
      <c r="C246" s="1" t="s">
        <v>771</v>
      </c>
      <c r="D246" s="1" t="s">
        <v>771</v>
      </c>
      <c r="E246" s="1" t="s">
        <v>903</v>
      </c>
      <c r="F246" s="1" t="s">
        <v>62</v>
      </c>
      <c r="H246" s="1" t="s">
        <v>215</v>
      </c>
    </row>
    <row r="247">
      <c r="A247" s="1" t="s">
        <v>1292</v>
      </c>
      <c r="B247" s="1" t="s">
        <v>686</v>
      </c>
      <c r="C247" s="1" t="s">
        <v>691</v>
      </c>
      <c r="D247" s="1" t="s">
        <v>691</v>
      </c>
      <c r="E247" s="1" t="s">
        <v>690</v>
      </c>
      <c r="F247" s="1" t="s">
        <v>134</v>
      </c>
      <c r="G247" s="1" t="s">
        <v>692</v>
      </c>
    </row>
    <row r="248">
      <c r="A248" s="1" t="s">
        <v>1293</v>
      </c>
      <c r="B248" s="1" t="s">
        <v>693</v>
      </c>
      <c r="C248" s="1" t="s">
        <v>910</v>
      </c>
      <c r="D248" s="1" t="s">
        <v>809</v>
      </c>
      <c r="E248" s="1" t="s">
        <v>695</v>
      </c>
      <c r="F248" s="1" t="s">
        <v>40</v>
      </c>
      <c r="G248" s="1" t="s">
        <v>694</v>
      </c>
    </row>
    <row r="249">
      <c r="A249" s="1" t="s">
        <v>1294</v>
      </c>
      <c r="B249" s="1" t="s">
        <v>693</v>
      </c>
      <c r="C249" s="1" t="s">
        <v>771</v>
      </c>
      <c r="D249" s="1" t="s">
        <v>771</v>
      </c>
      <c r="E249" s="1" t="s">
        <v>906</v>
      </c>
      <c r="F249" s="1" t="s">
        <v>62</v>
      </c>
      <c r="H249" s="1" t="s">
        <v>215</v>
      </c>
    </row>
    <row r="250">
      <c r="A250" s="1" t="s">
        <v>1295</v>
      </c>
      <c r="B250" s="1" t="s">
        <v>682</v>
      </c>
      <c r="C250" s="1" t="s">
        <v>280</v>
      </c>
      <c r="D250" s="1" t="s">
        <v>280</v>
      </c>
      <c r="E250" s="1" t="s">
        <v>1296</v>
      </c>
      <c r="F250" s="1" t="s">
        <v>115</v>
      </c>
      <c r="H250" s="1" t="s">
        <v>925</v>
      </c>
    </row>
    <row r="251">
      <c r="A251" s="1" t="s">
        <v>1297</v>
      </c>
      <c r="B251" s="1" t="s">
        <v>693</v>
      </c>
      <c r="C251" s="1" t="s">
        <v>280</v>
      </c>
      <c r="D251" s="1" t="s">
        <v>280</v>
      </c>
      <c r="E251" s="1" t="s">
        <v>1298</v>
      </c>
      <c r="F251" s="1" t="s">
        <v>115</v>
      </c>
      <c r="H251" s="1" t="s">
        <v>925</v>
      </c>
    </row>
    <row r="252">
      <c r="A252" s="1" t="s">
        <v>1299</v>
      </c>
      <c r="B252" s="1" t="s">
        <v>697</v>
      </c>
      <c r="C252" s="1" t="s">
        <v>910</v>
      </c>
      <c r="D252" s="1" t="s">
        <v>809</v>
      </c>
      <c r="E252" s="1" t="s">
        <v>699</v>
      </c>
      <c r="F252" s="1" t="s">
        <v>69</v>
      </c>
      <c r="G252" s="1" t="s">
        <v>698</v>
      </c>
    </row>
    <row r="253">
      <c r="A253" s="1" t="s">
        <v>1300</v>
      </c>
      <c r="B253" s="1" t="s">
        <v>701</v>
      </c>
      <c r="C253" s="1" t="s">
        <v>910</v>
      </c>
      <c r="D253" s="1" t="s">
        <v>809</v>
      </c>
      <c r="E253" s="1" t="s">
        <v>702</v>
      </c>
      <c r="F253" s="1" t="s">
        <v>69</v>
      </c>
      <c r="G253" s="1" t="s">
        <v>698</v>
      </c>
    </row>
    <row r="254">
      <c r="A254" s="1" t="s">
        <v>1301</v>
      </c>
      <c r="B254" s="1" t="s">
        <v>662</v>
      </c>
      <c r="C254" s="1" t="s">
        <v>1120</v>
      </c>
      <c r="D254" s="1" t="s">
        <v>261</v>
      </c>
      <c r="E254" s="1" t="s">
        <v>1302</v>
      </c>
    </row>
    <row r="255">
      <c r="A255" s="1" t="s">
        <v>1303</v>
      </c>
      <c r="B255" s="1" t="s">
        <v>704</v>
      </c>
      <c r="C255" s="1" t="s">
        <v>910</v>
      </c>
      <c r="D255" s="1" t="s">
        <v>809</v>
      </c>
      <c r="E255" s="1" t="s">
        <v>707</v>
      </c>
      <c r="F255" s="1" t="s">
        <v>40</v>
      </c>
      <c r="G255" s="1" t="s">
        <v>706</v>
      </c>
    </row>
    <row r="256">
      <c r="A256" s="1" t="s">
        <v>1304</v>
      </c>
      <c r="B256" s="1" t="s">
        <v>697</v>
      </c>
      <c r="C256" s="1" t="s">
        <v>771</v>
      </c>
      <c r="D256" s="1" t="s">
        <v>771</v>
      </c>
      <c r="E256" s="1" t="s">
        <v>909</v>
      </c>
      <c r="F256" s="1" t="s">
        <v>62</v>
      </c>
      <c r="H256" s="1" t="s">
        <v>215</v>
      </c>
    </row>
    <row r="257">
      <c r="A257" s="1" t="s">
        <v>1305</v>
      </c>
      <c r="B257" s="1" t="s">
        <v>704</v>
      </c>
      <c r="C257" s="1" t="s">
        <v>771</v>
      </c>
      <c r="D257" s="1" t="s">
        <v>771</v>
      </c>
      <c r="E257" s="1" t="s">
        <v>913</v>
      </c>
      <c r="F257" s="1" t="s">
        <v>62</v>
      </c>
      <c r="G257" s="1" t="s">
        <v>709</v>
      </c>
      <c r="H257" s="1" t="s">
        <v>215</v>
      </c>
    </row>
    <row r="258">
      <c r="A258" s="1" t="s">
        <v>1306</v>
      </c>
      <c r="B258" s="1" t="s">
        <v>704</v>
      </c>
      <c r="C258" s="1" t="s">
        <v>771</v>
      </c>
      <c r="D258" s="1" t="s">
        <v>771</v>
      </c>
      <c r="E258" s="1" t="s">
        <v>915</v>
      </c>
      <c r="F258" s="1" t="s">
        <v>62</v>
      </c>
      <c r="G258" s="1" t="s">
        <v>709</v>
      </c>
      <c r="H258" s="1" t="s">
        <v>215</v>
      </c>
    </row>
    <row r="259">
      <c r="A259" s="1" t="s">
        <v>1307</v>
      </c>
      <c r="B259" s="1" t="s">
        <v>701</v>
      </c>
      <c r="C259" s="1" t="s">
        <v>771</v>
      </c>
      <c r="D259" s="1" t="s">
        <v>771</v>
      </c>
      <c r="E259" s="1" t="s">
        <v>916</v>
      </c>
      <c r="F259" s="1" t="s">
        <v>62</v>
      </c>
      <c r="H259" s="1" t="s">
        <v>215</v>
      </c>
    </row>
    <row r="260">
      <c r="A260" s="1" t="s">
        <v>1308</v>
      </c>
      <c r="B260" s="1" t="s">
        <v>697</v>
      </c>
      <c r="C260" s="1" t="s">
        <v>280</v>
      </c>
      <c r="D260" s="1" t="s">
        <v>280</v>
      </c>
      <c r="E260" s="1" t="s">
        <v>1309</v>
      </c>
      <c r="F260" s="1" t="s">
        <v>115</v>
      </c>
      <c r="H260" s="1" t="s">
        <v>925</v>
      </c>
    </row>
    <row r="261">
      <c r="A261" s="1" t="s">
        <v>1310</v>
      </c>
      <c r="B261" s="1" t="s">
        <v>701</v>
      </c>
      <c r="C261" s="1" t="s">
        <v>280</v>
      </c>
      <c r="D261" s="1" t="s">
        <v>280</v>
      </c>
      <c r="E261" s="1" t="s">
        <v>1311</v>
      </c>
      <c r="F261" s="1" t="s">
        <v>115</v>
      </c>
      <c r="H261" s="1" t="s">
        <v>925</v>
      </c>
    </row>
    <row r="262">
      <c r="A262" s="1" t="s">
        <v>1312</v>
      </c>
      <c r="B262" s="1" t="s">
        <v>711</v>
      </c>
      <c r="C262" s="1" t="s">
        <v>910</v>
      </c>
      <c r="D262" s="1" t="s">
        <v>809</v>
      </c>
      <c r="E262" s="1" t="s">
        <v>713</v>
      </c>
      <c r="F262" s="1" t="s">
        <v>112</v>
      </c>
      <c r="G262" s="1" t="s">
        <v>712</v>
      </c>
    </row>
    <row r="263">
      <c r="A263" s="1" t="s">
        <v>1313</v>
      </c>
      <c r="B263" s="1" t="s">
        <v>711</v>
      </c>
      <c r="C263" s="1" t="s">
        <v>771</v>
      </c>
      <c r="D263" s="1" t="s">
        <v>771</v>
      </c>
      <c r="E263" s="1" t="s">
        <v>919</v>
      </c>
      <c r="F263" s="1" t="s">
        <v>62</v>
      </c>
      <c r="H263" s="1" t="s">
        <v>215</v>
      </c>
    </row>
    <row r="264">
      <c r="A264" s="1" t="s">
        <v>1314</v>
      </c>
      <c r="B264" s="1" t="s">
        <v>658</v>
      </c>
      <c r="C264" s="1" t="s">
        <v>1120</v>
      </c>
      <c r="D264" s="1" t="s">
        <v>261</v>
      </c>
      <c r="E264" s="1" t="s">
        <v>1315</v>
      </c>
    </row>
    <row r="265">
      <c r="A265" s="1" t="s">
        <v>1316</v>
      </c>
      <c r="B265" s="1" t="s">
        <v>716</v>
      </c>
      <c r="C265" s="1" t="s">
        <v>910</v>
      </c>
      <c r="D265" s="1" t="s">
        <v>809</v>
      </c>
      <c r="E265" s="1" t="s">
        <v>718</v>
      </c>
      <c r="F265" s="1" t="s">
        <v>69</v>
      </c>
      <c r="G265" s="1" t="s">
        <v>717</v>
      </c>
    </row>
    <row r="266">
      <c r="A266" s="1" t="s">
        <v>1317</v>
      </c>
      <c r="B266" s="1" t="s">
        <v>716</v>
      </c>
      <c r="C266" s="1" t="s">
        <v>771</v>
      </c>
      <c r="D266" s="1" t="s">
        <v>771</v>
      </c>
      <c r="E266" s="1" t="s">
        <v>922</v>
      </c>
      <c r="F266" s="1" t="s">
        <v>62</v>
      </c>
      <c r="G266" s="1" t="s">
        <v>719</v>
      </c>
      <c r="H266" s="1" t="s">
        <v>215</v>
      </c>
    </row>
    <row r="267">
      <c r="A267" s="1" t="s">
        <v>1318</v>
      </c>
      <c r="B267" s="1" t="s">
        <v>721</v>
      </c>
      <c r="C267" s="1" t="s">
        <v>910</v>
      </c>
      <c r="D267" s="1" t="s">
        <v>809</v>
      </c>
      <c r="E267" s="1" t="s">
        <v>723</v>
      </c>
      <c r="F267" s="1" t="s">
        <v>40</v>
      </c>
      <c r="G267" s="1" t="s">
        <v>722</v>
      </c>
    </row>
    <row r="268">
      <c r="A268" s="1" t="s">
        <v>1319</v>
      </c>
      <c r="B268" s="1" t="s">
        <v>725</v>
      </c>
      <c r="C268" s="1" t="s">
        <v>910</v>
      </c>
      <c r="D268" s="1" t="s">
        <v>809</v>
      </c>
      <c r="E268" s="1" t="s">
        <v>727</v>
      </c>
      <c r="F268" s="1" t="s">
        <v>40</v>
      </c>
      <c r="G268" s="1" t="s">
        <v>726</v>
      </c>
    </row>
    <row r="269">
      <c r="A269" s="1" t="s">
        <v>1320</v>
      </c>
      <c r="B269" s="1" t="s">
        <v>704</v>
      </c>
      <c r="C269" s="1" t="s">
        <v>280</v>
      </c>
      <c r="D269" s="1" t="s">
        <v>280</v>
      </c>
      <c r="E269" s="1" t="s">
        <v>1321</v>
      </c>
      <c r="F269" s="1" t="s">
        <v>115</v>
      </c>
      <c r="H269" s="1" t="s">
        <v>925</v>
      </c>
    </row>
    <row r="270">
      <c r="A270" s="1" t="s">
        <v>1322</v>
      </c>
      <c r="B270" s="1" t="s">
        <v>711</v>
      </c>
      <c r="C270" s="1" t="s">
        <v>280</v>
      </c>
      <c r="D270" s="1" t="s">
        <v>280</v>
      </c>
      <c r="E270" s="1" t="s">
        <v>1323</v>
      </c>
      <c r="F270" s="1" t="s">
        <v>115</v>
      </c>
      <c r="H270" s="1" t="s">
        <v>925</v>
      </c>
    </row>
    <row r="271">
      <c r="A271" s="1" t="s">
        <v>1324</v>
      </c>
      <c r="B271" s="1" t="s">
        <v>716</v>
      </c>
      <c r="C271" s="1" t="s">
        <v>280</v>
      </c>
      <c r="D271" s="1" t="s">
        <v>280</v>
      </c>
      <c r="E271" s="1" t="s">
        <v>1325</v>
      </c>
      <c r="F271" s="1" t="s">
        <v>115</v>
      </c>
      <c r="H271" s="1" t="s">
        <v>925</v>
      </c>
    </row>
    <row r="272">
      <c r="A272" s="1" t="s">
        <v>1326</v>
      </c>
      <c r="B272" s="1" t="s">
        <v>676</v>
      </c>
      <c r="C272" s="1" t="s">
        <v>280</v>
      </c>
      <c r="D272" s="1" t="s">
        <v>280</v>
      </c>
      <c r="E272" s="1" t="s">
        <v>680</v>
      </c>
      <c r="F272" s="1" t="s">
        <v>89</v>
      </c>
      <c r="G272" s="1" t="s">
        <v>652</v>
      </c>
      <c r="H272" s="1" t="s">
        <v>990</v>
      </c>
    </row>
    <row r="273">
      <c r="A273" s="1" t="s">
        <v>1327</v>
      </c>
      <c r="B273" s="1" t="s">
        <v>682</v>
      </c>
      <c r="C273" s="1" t="s">
        <v>280</v>
      </c>
      <c r="D273" s="1" t="s">
        <v>280</v>
      </c>
      <c r="E273" s="1" t="s">
        <v>685</v>
      </c>
      <c r="F273" s="1" t="s">
        <v>89</v>
      </c>
      <c r="H273" s="1" t="s">
        <v>990</v>
      </c>
    </row>
    <row r="274">
      <c r="A274" s="1" t="s">
        <v>1328</v>
      </c>
      <c r="B274" s="1" t="s">
        <v>693</v>
      </c>
      <c r="C274" s="1" t="s">
        <v>280</v>
      </c>
      <c r="D274" s="1" t="s">
        <v>280</v>
      </c>
      <c r="E274" s="1" t="s">
        <v>696</v>
      </c>
      <c r="F274" s="1" t="s">
        <v>89</v>
      </c>
      <c r="H274" s="1" t="s">
        <v>990</v>
      </c>
    </row>
    <row r="275">
      <c r="A275" s="1" t="s">
        <v>1329</v>
      </c>
      <c r="B275" s="1" t="s">
        <v>697</v>
      </c>
      <c r="C275" s="1" t="s">
        <v>280</v>
      </c>
      <c r="D275" s="1" t="s">
        <v>280</v>
      </c>
      <c r="E275" s="1" t="s">
        <v>700</v>
      </c>
      <c r="F275" s="1" t="s">
        <v>89</v>
      </c>
      <c r="H275" s="1" t="s">
        <v>990</v>
      </c>
    </row>
    <row r="276">
      <c r="A276" s="1" t="s">
        <v>1330</v>
      </c>
      <c r="B276" s="1" t="s">
        <v>701</v>
      </c>
      <c r="C276" s="1" t="s">
        <v>280</v>
      </c>
      <c r="D276" s="1" t="s">
        <v>280</v>
      </c>
      <c r="E276" s="1" t="s">
        <v>703</v>
      </c>
      <c r="F276" s="1" t="s">
        <v>89</v>
      </c>
      <c r="H276" s="1" t="s">
        <v>990</v>
      </c>
    </row>
    <row r="277">
      <c r="A277" s="1" t="s">
        <v>1331</v>
      </c>
      <c r="B277" s="1" t="s">
        <v>704</v>
      </c>
      <c r="C277" s="1" t="s">
        <v>280</v>
      </c>
      <c r="D277" s="1" t="s">
        <v>280</v>
      </c>
      <c r="E277" s="1" t="s">
        <v>710</v>
      </c>
      <c r="F277" s="1" t="s">
        <v>89</v>
      </c>
      <c r="H277" s="1" t="s">
        <v>990</v>
      </c>
    </row>
    <row r="278">
      <c r="A278" s="1" t="s">
        <v>1332</v>
      </c>
      <c r="B278" s="1" t="s">
        <v>711</v>
      </c>
      <c r="C278" s="1" t="s">
        <v>280</v>
      </c>
      <c r="D278" s="1" t="s">
        <v>280</v>
      </c>
      <c r="E278" s="1" t="s">
        <v>715</v>
      </c>
      <c r="F278" s="1" t="s">
        <v>89</v>
      </c>
      <c r="H278" s="1" t="s">
        <v>990</v>
      </c>
    </row>
    <row r="279">
      <c r="A279" s="1" t="s">
        <v>1333</v>
      </c>
      <c r="B279" s="1" t="s">
        <v>716</v>
      </c>
      <c r="C279" s="1" t="s">
        <v>280</v>
      </c>
      <c r="D279" s="1" t="s">
        <v>280</v>
      </c>
      <c r="E279" s="1" t="s">
        <v>720</v>
      </c>
      <c r="F279" s="1" t="s">
        <v>89</v>
      </c>
      <c r="H279" s="1" t="s">
        <v>990</v>
      </c>
    </row>
    <row r="280">
      <c r="A280" s="1" t="s">
        <v>1334</v>
      </c>
      <c r="B280" s="1" t="s">
        <v>730</v>
      </c>
      <c r="C280" s="1" t="s">
        <v>910</v>
      </c>
      <c r="D280" s="1" t="s">
        <v>809</v>
      </c>
      <c r="E280" s="1" t="s">
        <v>733</v>
      </c>
      <c r="F280" s="1" t="s">
        <v>69</v>
      </c>
      <c r="G280" s="1" t="s">
        <v>732</v>
      </c>
    </row>
    <row r="281">
      <c r="A281" s="1" t="s">
        <v>1335</v>
      </c>
      <c r="B281" s="1" t="s">
        <v>735</v>
      </c>
      <c r="C281" s="1" t="s">
        <v>910</v>
      </c>
      <c r="D281" s="1" t="s">
        <v>809</v>
      </c>
      <c r="E281" s="1" t="s">
        <v>737</v>
      </c>
      <c r="F281" s="1" t="s">
        <v>69</v>
      </c>
      <c r="G281" s="1" t="s">
        <v>736</v>
      </c>
    </row>
    <row r="282">
      <c r="A282" s="1" t="s">
        <v>1336</v>
      </c>
      <c r="B282" s="1" t="s">
        <v>739</v>
      </c>
      <c r="C282" s="1" t="s">
        <v>910</v>
      </c>
      <c r="D282" s="1" t="s">
        <v>809</v>
      </c>
      <c r="E282" s="1" t="s">
        <v>741</v>
      </c>
      <c r="F282" s="1" t="s">
        <v>128</v>
      </c>
      <c r="G282" s="1" t="s">
        <v>740</v>
      </c>
    </row>
    <row r="283">
      <c r="A283" s="1" t="s">
        <v>1337</v>
      </c>
      <c r="B283" s="1" t="s">
        <v>744</v>
      </c>
      <c r="C283" s="1" t="s">
        <v>910</v>
      </c>
      <c r="D283" s="1" t="s">
        <v>809</v>
      </c>
      <c r="E283" s="1" t="s">
        <v>748</v>
      </c>
      <c r="F283" s="1" t="s">
        <v>69</v>
      </c>
      <c r="G283" s="1" t="s">
        <v>747</v>
      </c>
    </row>
    <row r="284">
      <c r="A284" s="1" t="s">
        <v>1338</v>
      </c>
      <c r="B284" s="1" t="s">
        <v>739</v>
      </c>
      <c r="C284" s="1" t="s">
        <v>771</v>
      </c>
      <c r="D284" s="1" t="s">
        <v>771</v>
      </c>
      <c r="E284" s="1" t="s">
        <v>931</v>
      </c>
      <c r="F284" s="1" t="s">
        <v>62</v>
      </c>
      <c r="G284" s="1" t="s">
        <v>742</v>
      </c>
      <c r="H284" s="1" t="s">
        <v>215</v>
      </c>
    </row>
    <row r="285">
      <c r="A285" s="1" t="s">
        <v>1339</v>
      </c>
      <c r="B285" s="1" t="s">
        <v>735</v>
      </c>
      <c r="C285" s="1" t="s">
        <v>771</v>
      </c>
      <c r="D285" s="1" t="s">
        <v>771</v>
      </c>
      <c r="E285" s="1" t="s">
        <v>934</v>
      </c>
      <c r="F285" s="1" t="s">
        <v>62</v>
      </c>
      <c r="H285" s="1" t="s">
        <v>215</v>
      </c>
    </row>
    <row r="286">
      <c r="A286" s="1" t="s">
        <v>1340</v>
      </c>
      <c r="B286" s="1" t="s">
        <v>725</v>
      </c>
      <c r="C286" s="1" t="s">
        <v>771</v>
      </c>
      <c r="D286" s="1" t="s">
        <v>771</v>
      </c>
      <c r="E286" s="1" t="s">
        <v>937</v>
      </c>
      <c r="F286" s="1" t="s">
        <v>62</v>
      </c>
      <c r="H286" s="1" t="s">
        <v>215</v>
      </c>
    </row>
    <row r="287">
      <c r="A287" s="1" t="s">
        <v>1341</v>
      </c>
      <c r="B287" s="1" t="s">
        <v>730</v>
      </c>
      <c r="C287" s="1" t="s">
        <v>771</v>
      </c>
      <c r="D287" s="1" t="s">
        <v>771</v>
      </c>
      <c r="E287" s="1" t="s">
        <v>941</v>
      </c>
      <c r="F287" s="1" t="s">
        <v>62</v>
      </c>
      <c r="H287" s="1" t="s">
        <v>215</v>
      </c>
    </row>
    <row r="288">
      <c r="A288" s="1" t="s">
        <v>1342</v>
      </c>
      <c r="B288" s="1" t="s">
        <v>721</v>
      </c>
      <c r="C288" s="1" t="s">
        <v>771</v>
      </c>
      <c r="D288" s="1" t="s">
        <v>771</v>
      </c>
      <c r="E288" s="1" t="s">
        <v>942</v>
      </c>
      <c r="F288" s="1" t="s">
        <v>62</v>
      </c>
      <c r="H288" s="1" t="s">
        <v>215</v>
      </c>
    </row>
    <row r="289">
      <c r="A289" s="1" t="s">
        <v>1343</v>
      </c>
      <c r="B289" s="1" t="s">
        <v>744</v>
      </c>
      <c r="C289" s="1" t="s">
        <v>771</v>
      </c>
      <c r="D289" s="1" t="s">
        <v>771</v>
      </c>
      <c r="E289" s="1" t="s">
        <v>944</v>
      </c>
      <c r="F289" s="1" t="s">
        <v>62</v>
      </c>
      <c r="H289" s="1" t="s">
        <v>215</v>
      </c>
    </row>
    <row r="290">
      <c r="A290" s="1" t="s">
        <v>1344</v>
      </c>
      <c r="B290" s="1" t="s">
        <v>744</v>
      </c>
      <c r="C290" s="1" t="s">
        <v>280</v>
      </c>
      <c r="D290" s="1" t="s">
        <v>280</v>
      </c>
      <c r="E290" s="1" t="s">
        <v>1345</v>
      </c>
      <c r="F290" s="1" t="s">
        <v>82</v>
      </c>
      <c r="H290" s="1" t="s">
        <v>925</v>
      </c>
    </row>
    <row r="291">
      <c r="A291" s="1" t="s">
        <v>1346</v>
      </c>
      <c r="B291" s="1" t="s">
        <v>739</v>
      </c>
      <c r="C291" s="1" t="s">
        <v>280</v>
      </c>
      <c r="D291" s="1" t="s">
        <v>280</v>
      </c>
      <c r="E291" s="1" t="s">
        <v>1347</v>
      </c>
      <c r="F291" s="1" t="s">
        <v>82</v>
      </c>
      <c r="H291" s="1" t="s">
        <v>925</v>
      </c>
    </row>
    <row r="292">
      <c r="A292" s="1" t="s">
        <v>1348</v>
      </c>
      <c r="B292" s="1" t="s">
        <v>735</v>
      </c>
      <c r="C292" s="1" t="s">
        <v>280</v>
      </c>
      <c r="D292" s="1" t="s">
        <v>280</v>
      </c>
      <c r="E292" s="1" t="s">
        <v>1349</v>
      </c>
      <c r="F292" s="1" t="s">
        <v>82</v>
      </c>
      <c r="H292" s="1" t="s">
        <v>925</v>
      </c>
    </row>
    <row r="293">
      <c r="A293" s="1" t="s">
        <v>1350</v>
      </c>
      <c r="B293" s="1" t="s">
        <v>730</v>
      </c>
      <c r="C293" s="1" t="s">
        <v>280</v>
      </c>
      <c r="D293" s="1" t="s">
        <v>280</v>
      </c>
      <c r="E293" s="1" t="s">
        <v>1351</v>
      </c>
      <c r="F293" s="1" t="s">
        <v>82</v>
      </c>
      <c r="H293" s="1" t="s">
        <v>925</v>
      </c>
    </row>
    <row r="294">
      <c r="A294" s="1" t="s">
        <v>1352</v>
      </c>
      <c r="B294" s="1" t="s">
        <v>725</v>
      </c>
      <c r="C294" s="1" t="s">
        <v>280</v>
      </c>
      <c r="D294" s="1" t="s">
        <v>280</v>
      </c>
      <c r="E294" s="1" t="s">
        <v>1353</v>
      </c>
      <c r="F294" s="1" t="s">
        <v>82</v>
      </c>
      <c r="H294" s="1" t="s">
        <v>925</v>
      </c>
    </row>
    <row r="295">
      <c r="A295" s="1" t="s">
        <v>1354</v>
      </c>
      <c r="B295" s="1" t="s">
        <v>721</v>
      </c>
      <c r="C295" s="1" t="s">
        <v>280</v>
      </c>
      <c r="D295" s="1" t="s">
        <v>280</v>
      </c>
      <c r="E295" s="1" t="s">
        <v>1355</v>
      </c>
      <c r="F295" s="1" t="s">
        <v>82</v>
      </c>
      <c r="H295" s="1" t="s">
        <v>925</v>
      </c>
    </row>
    <row r="296">
      <c r="A296" s="1" t="s">
        <v>1356</v>
      </c>
      <c r="B296" s="1" t="s">
        <v>744</v>
      </c>
      <c r="C296" s="1" t="s">
        <v>280</v>
      </c>
      <c r="D296" s="1" t="s">
        <v>280</v>
      </c>
      <c r="E296" s="1" t="s">
        <v>750</v>
      </c>
      <c r="F296" s="1" t="s">
        <v>89</v>
      </c>
      <c r="H296" s="1" t="s">
        <v>990</v>
      </c>
    </row>
    <row r="297">
      <c r="A297" s="1" t="s">
        <v>1357</v>
      </c>
      <c r="B297" s="1" t="s">
        <v>739</v>
      </c>
      <c r="C297" s="1" t="s">
        <v>280</v>
      </c>
      <c r="D297" s="1" t="s">
        <v>280</v>
      </c>
      <c r="E297" s="1" t="s">
        <v>743</v>
      </c>
      <c r="F297" s="1" t="s">
        <v>89</v>
      </c>
      <c r="H297" s="1" t="s">
        <v>990</v>
      </c>
    </row>
    <row r="298">
      <c r="A298" s="1" t="s">
        <v>1358</v>
      </c>
      <c r="B298" s="1" t="s">
        <v>735</v>
      </c>
      <c r="C298" s="1" t="s">
        <v>280</v>
      </c>
      <c r="D298" s="1" t="s">
        <v>280</v>
      </c>
      <c r="E298" s="1" t="s">
        <v>738</v>
      </c>
      <c r="F298" s="1" t="s">
        <v>89</v>
      </c>
      <c r="H298" s="1" t="s">
        <v>990</v>
      </c>
    </row>
    <row r="299">
      <c r="A299" s="1" t="s">
        <v>1359</v>
      </c>
      <c r="B299" s="1" t="s">
        <v>730</v>
      </c>
      <c r="C299" s="1" t="s">
        <v>280</v>
      </c>
      <c r="D299" s="1" t="s">
        <v>280</v>
      </c>
      <c r="E299" s="1" t="s">
        <v>734</v>
      </c>
      <c r="F299" s="1" t="s">
        <v>89</v>
      </c>
      <c r="H299" s="1" t="s">
        <v>990</v>
      </c>
    </row>
    <row r="300">
      <c r="A300" s="1" t="s">
        <v>1360</v>
      </c>
      <c r="B300" s="1" t="s">
        <v>725</v>
      </c>
      <c r="C300" s="1" t="s">
        <v>280</v>
      </c>
      <c r="D300" s="1" t="s">
        <v>280</v>
      </c>
      <c r="E300" s="1" t="s">
        <v>728</v>
      </c>
      <c r="F300" s="1" t="s">
        <v>89</v>
      </c>
      <c r="H300" s="1" t="s">
        <v>990</v>
      </c>
    </row>
    <row r="301">
      <c r="A301" s="1" t="s">
        <v>1361</v>
      </c>
      <c r="B301" s="1" t="s">
        <v>721</v>
      </c>
      <c r="C301" s="1" t="s">
        <v>280</v>
      </c>
      <c r="D301" s="1" t="s">
        <v>280</v>
      </c>
      <c r="E301" s="1" t="s">
        <v>724</v>
      </c>
      <c r="F301" s="1" t="s">
        <v>89</v>
      </c>
      <c r="H301" s="1" t="s">
        <v>990</v>
      </c>
    </row>
    <row r="302">
      <c r="A302" s="1" t="s">
        <v>1362</v>
      </c>
      <c r="B302" s="1" t="s">
        <v>751</v>
      </c>
      <c r="C302" s="1" t="s">
        <v>910</v>
      </c>
      <c r="D302" s="1" t="s">
        <v>809</v>
      </c>
      <c r="E302" s="1" t="s">
        <v>754</v>
      </c>
      <c r="F302" s="1" t="s">
        <v>57</v>
      </c>
      <c r="G302" s="1" t="s">
        <v>753</v>
      </c>
    </row>
    <row r="303">
      <c r="A303" s="1" t="s">
        <v>1363</v>
      </c>
      <c r="B303" s="1" t="s">
        <v>756</v>
      </c>
      <c r="C303" s="1" t="s">
        <v>910</v>
      </c>
      <c r="D303" s="1" t="s">
        <v>809</v>
      </c>
      <c r="E303" s="1" t="s">
        <v>758</v>
      </c>
      <c r="F303" s="1" t="s">
        <v>57</v>
      </c>
      <c r="G303" s="1" t="s">
        <v>757</v>
      </c>
    </row>
    <row r="304">
      <c r="A304" s="1" t="s">
        <v>1364</v>
      </c>
      <c r="B304" s="1" t="s">
        <v>756</v>
      </c>
      <c r="C304" s="1" t="s">
        <v>771</v>
      </c>
      <c r="D304" s="1" t="s">
        <v>771</v>
      </c>
      <c r="E304" s="1" t="s">
        <v>961</v>
      </c>
      <c r="F304" s="1" t="s">
        <v>62</v>
      </c>
      <c r="H304" s="1" t="s">
        <v>215</v>
      </c>
    </row>
    <row r="305">
      <c r="A305" s="1" t="s">
        <v>1365</v>
      </c>
      <c r="B305" s="1" t="s">
        <v>751</v>
      </c>
      <c r="C305" s="1" t="s">
        <v>771</v>
      </c>
      <c r="D305" s="1" t="s">
        <v>771</v>
      </c>
      <c r="E305" s="1" t="s">
        <v>962</v>
      </c>
      <c r="F305" s="1" t="s">
        <v>62</v>
      </c>
      <c r="H305" s="1" t="s">
        <v>215</v>
      </c>
    </row>
    <row r="306">
      <c r="A306" s="1" t="s">
        <v>1366</v>
      </c>
      <c r="B306" s="1" t="s">
        <v>760</v>
      </c>
      <c r="C306" s="1" t="s">
        <v>910</v>
      </c>
      <c r="D306" s="1" t="s">
        <v>809</v>
      </c>
      <c r="E306" s="1" t="s">
        <v>763</v>
      </c>
      <c r="F306" s="1" t="s">
        <v>57</v>
      </c>
      <c r="G306" s="1" t="s">
        <v>762</v>
      </c>
    </row>
    <row r="307">
      <c r="A307" s="1" t="s">
        <v>1367</v>
      </c>
      <c r="B307" s="1" t="s">
        <v>765</v>
      </c>
      <c r="C307" s="1" t="s">
        <v>910</v>
      </c>
      <c r="D307" s="1" t="s">
        <v>809</v>
      </c>
      <c r="E307" s="1" t="s">
        <v>769</v>
      </c>
      <c r="F307" s="1" t="s">
        <v>40</v>
      </c>
      <c r="G307" s="1" t="s">
        <v>768</v>
      </c>
    </row>
    <row r="308">
      <c r="A308" s="1" t="s">
        <v>1368</v>
      </c>
      <c r="B308" s="1" t="s">
        <v>772</v>
      </c>
      <c r="C308" s="1" t="s">
        <v>910</v>
      </c>
      <c r="D308" s="1" t="s">
        <v>809</v>
      </c>
      <c r="E308" s="1" t="s">
        <v>773</v>
      </c>
      <c r="F308" s="1" t="s">
        <v>57</v>
      </c>
      <c r="G308" s="1" t="s">
        <v>762</v>
      </c>
    </row>
    <row r="309">
      <c r="A309" s="1" t="s">
        <v>1369</v>
      </c>
      <c r="B309" s="1" t="s">
        <v>760</v>
      </c>
      <c r="C309" s="1" t="s">
        <v>771</v>
      </c>
      <c r="D309" s="1" t="s">
        <v>771</v>
      </c>
      <c r="E309" s="1" t="s">
        <v>964</v>
      </c>
      <c r="F309" s="1" t="s">
        <v>62</v>
      </c>
      <c r="H309" s="1" t="s">
        <v>215</v>
      </c>
    </row>
    <row r="310">
      <c r="A310" s="1" t="s">
        <v>1370</v>
      </c>
      <c r="B310" s="1" t="s">
        <v>751</v>
      </c>
      <c r="C310" s="1" t="s">
        <v>280</v>
      </c>
      <c r="D310" s="1" t="s">
        <v>280</v>
      </c>
      <c r="E310" s="1" t="s">
        <v>1371</v>
      </c>
      <c r="F310" s="1" t="s">
        <v>115</v>
      </c>
      <c r="H310" s="1" t="s">
        <v>925</v>
      </c>
    </row>
    <row r="311">
      <c r="A311" s="1" t="s">
        <v>1372</v>
      </c>
      <c r="B311" s="1" t="s">
        <v>756</v>
      </c>
      <c r="C311" s="1" t="s">
        <v>280</v>
      </c>
      <c r="D311" s="1" t="s">
        <v>280</v>
      </c>
      <c r="E311" s="1" t="s">
        <v>1373</v>
      </c>
      <c r="F311" s="1" t="s">
        <v>115</v>
      </c>
      <c r="H311" s="1" t="s">
        <v>925</v>
      </c>
    </row>
    <row r="312">
      <c r="A312" s="1" t="s">
        <v>1374</v>
      </c>
      <c r="B312" s="1" t="s">
        <v>760</v>
      </c>
      <c r="C312" s="1" t="s">
        <v>280</v>
      </c>
      <c r="D312" s="1" t="s">
        <v>280</v>
      </c>
      <c r="E312" s="1" t="s">
        <v>1375</v>
      </c>
      <c r="F312" s="1" t="s">
        <v>115</v>
      </c>
      <c r="H312" s="1" t="s">
        <v>925</v>
      </c>
    </row>
    <row r="313">
      <c r="A313" s="1" t="s">
        <v>1376</v>
      </c>
      <c r="B313" s="1" t="s">
        <v>760</v>
      </c>
      <c r="C313" s="1" t="s">
        <v>280</v>
      </c>
      <c r="D313" s="1" t="s">
        <v>280</v>
      </c>
      <c r="E313" s="1" t="s">
        <v>764</v>
      </c>
      <c r="F313" s="1" t="s">
        <v>89</v>
      </c>
      <c r="H313" s="1" t="s">
        <v>990</v>
      </c>
    </row>
    <row r="314">
      <c r="A314" s="1" t="s">
        <v>1377</v>
      </c>
      <c r="B314" s="1" t="s">
        <v>756</v>
      </c>
      <c r="C314" s="1" t="s">
        <v>280</v>
      </c>
      <c r="D314" s="1" t="s">
        <v>280</v>
      </c>
      <c r="E314" s="1" t="s">
        <v>759</v>
      </c>
      <c r="F314" s="1" t="s">
        <v>89</v>
      </c>
      <c r="H314" s="1" t="s">
        <v>990</v>
      </c>
    </row>
    <row r="315">
      <c r="A315" s="1" t="s">
        <v>1378</v>
      </c>
      <c r="B315" s="1" t="s">
        <v>751</v>
      </c>
      <c r="C315" s="1" t="s">
        <v>280</v>
      </c>
      <c r="D315" s="1" t="s">
        <v>280</v>
      </c>
      <c r="E315" s="1" t="s">
        <v>755</v>
      </c>
      <c r="F315" s="1" t="s">
        <v>89</v>
      </c>
      <c r="H315" s="1" t="s">
        <v>990</v>
      </c>
    </row>
    <row r="316">
      <c r="A316" s="1" t="s">
        <v>1379</v>
      </c>
      <c r="B316" s="1" t="s">
        <v>775</v>
      </c>
      <c r="C316" s="1" t="s">
        <v>910</v>
      </c>
      <c r="D316" s="1" t="s">
        <v>809</v>
      </c>
      <c r="E316" s="1" t="s">
        <v>777</v>
      </c>
      <c r="F316" s="1" t="s">
        <v>40</v>
      </c>
      <c r="G316" s="1" t="s">
        <v>776</v>
      </c>
    </row>
    <row r="317">
      <c r="A317" s="1" t="s">
        <v>1380</v>
      </c>
      <c r="B317" s="1" t="s">
        <v>775</v>
      </c>
      <c r="C317" s="1" t="s">
        <v>691</v>
      </c>
      <c r="D317" s="1" t="s">
        <v>691</v>
      </c>
      <c r="E317" s="1" t="s">
        <v>778</v>
      </c>
      <c r="F317" s="1" t="s">
        <v>40</v>
      </c>
      <c r="G317" s="1" t="s">
        <v>692</v>
      </c>
    </row>
    <row r="318">
      <c r="A318" s="1" t="s">
        <v>1381</v>
      </c>
      <c r="B318" s="1" t="s">
        <v>779</v>
      </c>
      <c r="C318" s="1" t="s">
        <v>910</v>
      </c>
      <c r="D318" s="1" t="s">
        <v>809</v>
      </c>
      <c r="E318" s="1" t="s">
        <v>782</v>
      </c>
      <c r="F318" s="1" t="s">
        <v>40</v>
      </c>
      <c r="G318" s="1" t="s">
        <v>781</v>
      </c>
    </row>
    <row r="319">
      <c r="A319" s="1" t="s">
        <v>1382</v>
      </c>
      <c r="B319" s="1" t="s">
        <v>765</v>
      </c>
      <c r="C319" s="1" t="s">
        <v>771</v>
      </c>
      <c r="D319" s="1" t="s">
        <v>771</v>
      </c>
      <c r="E319" s="1" t="s">
        <v>770</v>
      </c>
      <c r="F319" s="1" t="s">
        <v>62</v>
      </c>
      <c r="H319" s="1" t="s">
        <v>215</v>
      </c>
    </row>
    <row r="320">
      <c r="A320" s="1" t="s">
        <v>1383</v>
      </c>
      <c r="B320" s="1" t="s">
        <v>772</v>
      </c>
      <c r="C320" s="1" t="s">
        <v>771</v>
      </c>
      <c r="D320" s="1" t="s">
        <v>771</v>
      </c>
      <c r="E320" s="1" t="s">
        <v>774</v>
      </c>
      <c r="F320" s="1" t="s">
        <v>62</v>
      </c>
      <c r="H320" s="1" t="s">
        <v>215</v>
      </c>
    </row>
    <row r="321">
      <c r="A321" s="1" t="s">
        <v>1384</v>
      </c>
      <c r="B321" s="1" t="s">
        <v>785</v>
      </c>
      <c r="C321" s="1" t="s">
        <v>910</v>
      </c>
      <c r="D321" s="1" t="s">
        <v>809</v>
      </c>
      <c r="E321" s="1" t="s">
        <v>789</v>
      </c>
      <c r="F321" s="1" t="s">
        <v>57</v>
      </c>
      <c r="G321" s="1" t="s">
        <v>788</v>
      </c>
    </row>
    <row r="322">
      <c r="A322" s="1" t="s">
        <v>1385</v>
      </c>
      <c r="B322" s="1" t="s">
        <v>792</v>
      </c>
      <c r="C322" s="1" t="s">
        <v>910</v>
      </c>
      <c r="D322" s="1" t="s">
        <v>809</v>
      </c>
      <c r="E322" s="1" t="s">
        <v>793</v>
      </c>
      <c r="F322" s="1" t="s">
        <v>57</v>
      </c>
      <c r="G322" s="1" t="s">
        <v>788</v>
      </c>
    </row>
    <row r="323">
      <c r="A323" s="1" t="s">
        <v>1386</v>
      </c>
      <c r="B323" s="1" t="s">
        <v>795</v>
      </c>
      <c r="C323" s="1" t="s">
        <v>910</v>
      </c>
      <c r="D323" s="1" t="s">
        <v>809</v>
      </c>
      <c r="E323" s="1" t="s">
        <v>796</v>
      </c>
      <c r="F323" s="1" t="s">
        <v>57</v>
      </c>
      <c r="G323" s="1" t="s">
        <v>788</v>
      </c>
    </row>
    <row r="324">
      <c r="A324" s="1" t="s">
        <v>1387</v>
      </c>
      <c r="B324" s="1" t="s">
        <v>798</v>
      </c>
      <c r="C324" s="1" t="s">
        <v>910</v>
      </c>
      <c r="D324" s="1" t="s">
        <v>809</v>
      </c>
      <c r="E324" s="1" t="s">
        <v>799</v>
      </c>
      <c r="F324" s="1" t="s">
        <v>57</v>
      </c>
      <c r="G324" s="1" t="s">
        <v>788</v>
      </c>
    </row>
    <row r="325">
      <c r="A325" s="1" t="s">
        <v>1388</v>
      </c>
      <c r="B325" s="1" t="s">
        <v>798</v>
      </c>
      <c r="C325" s="1" t="s">
        <v>790</v>
      </c>
      <c r="D325" s="1" t="s">
        <v>790</v>
      </c>
      <c r="E325" s="1" t="s">
        <v>800</v>
      </c>
      <c r="F325" s="1" t="s">
        <v>62</v>
      </c>
      <c r="G325" s="1" t="s">
        <v>790</v>
      </c>
      <c r="H325" s="1" t="s">
        <v>215</v>
      </c>
    </row>
    <row r="326">
      <c r="A326" s="1" t="s">
        <v>1389</v>
      </c>
      <c r="B326" s="1" t="s">
        <v>792</v>
      </c>
      <c r="C326" s="1" t="s">
        <v>790</v>
      </c>
      <c r="D326" s="1" t="s">
        <v>790</v>
      </c>
      <c r="E326" s="1" t="s">
        <v>794</v>
      </c>
      <c r="F326" s="1" t="s">
        <v>62</v>
      </c>
      <c r="G326" s="1" t="s">
        <v>790</v>
      </c>
      <c r="H326" s="1" t="s">
        <v>215</v>
      </c>
    </row>
    <row r="327">
      <c r="A327" s="1" t="s">
        <v>1390</v>
      </c>
      <c r="B327" s="1" t="s">
        <v>785</v>
      </c>
      <c r="C327" s="1" t="s">
        <v>790</v>
      </c>
      <c r="D327" s="1" t="s">
        <v>790</v>
      </c>
      <c r="E327" s="1" t="s">
        <v>791</v>
      </c>
      <c r="F327" s="1" t="s">
        <v>62</v>
      </c>
      <c r="G327" s="1" t="s">
        <v>790</v>
      </c>
      <c r="H327" s="1" t="s">
        <v>215</v>
      </c>
    </row>
    <row r="328">
      <c r="A328" s="1" t="s">
        <v>1391</v>
      </c>
      <c r="B328" s="1" t="s">
        <v>795</v>
      </c>
      <c r="C328" s="1" t="s">
        <v>790</v>
      </c>
      <c r="D328" s="1" t="s">
        <v>790</v>
      </c>
      <c r="E328" s="1" t="s">
        <v>797</v>
      </c>
      <c r="F328" s="1" t="s">
        <v>62</v>
      </c>
      <c r="G328" s="1" t="s">
        <v>790</v>
      </c>
      <c r="H328" s="1" t="s">
        <v>215</v>
      </c>
    </row>
    <row r="329">
      <c r="A329" s="1" t="s">
        <v>1392</v>
      </c>
      <c r="B329" s="1" t="s">
        <v>779</v>
      </c>
      <c r="C329" s="1" t="s">
        <v>771</v>
      </c>
      <c r="D329" s="1" t="s">
        <v>771</v>
      </c>
      <c r="E329" s="1" t="s">
        <v>783</v>
      </c>
      <c r="F329" s="1" t="s">
        <v>62</v>
      </c>
      <c r="H329" s="1" t="s">
        <v>215</v>
      </c>
    </row>
    <row r="330">
      <c r="A330" s="1" t="s">
        <v>1393</v>
      </c>
      <c r="B330" s="1" t="s">
        <v>801</v>
      </c>
      <c r="C330" s="1" t="s">
        <v>910</v>
      </c>
      <c r="D330" s="1" t="s">
        <v>809</v>
      </c>
      <c r="E330" s="1" t="s">
        <v>803</v>
      </c>
      <c r="F330" s="1" t="s">
        <v>57</v>
      </c>
      <c r="G330" s="1" t="s">
        <v>802</v>
      </c>
    </row>
    <row r="331">
      <c r="A331" s="1" t="s">
        <v>1394</v>
      </c>
      <c r="B331" s="1" t="s">
        <v>801</v>
      </c>
      <c r="C331" s="1" t="s">
        <v>771</v>
      </c>
      <c r="D331" s="1" t="s">
        <v>771</v>
      </c>
      <c r="E331" s="1" t="s">
        <v>804</v>
      </c>
      <c r="F331" s="1" t="s">
        <v>62</v>
      </c>
      <c r="H331" s="1" t="s">
        <v>215</v>
      </c>
    </row>
    <row r="332">
      <c r="A332" s="1" t="s">
        <v>1395</v>
      </c>
      <c r="B332" s="1" t="s">
        <v>805</v>
      </c>
      <c r="C332" s="1" t="s">
        <v>910</v>
      </c>
      <c r="D332" s="1" t="s">
        <v>809</v>
      </c>
      <c r="E332" s="1" t="s">
        <v>808</v>
      </c>
      <c r="F332" s="1" t="s">
        <v>57</v>
      </c>
      <c r="G332" s="1" t="s">
        <v>807</v>
      </c>
    </row>
    <row r="333">
      <c r="A333" s="1" t="s">
        <v>1396</v>
      </c>
      <c r="B333" s="1" t="s">
        <v>811</v>
      </c>
      <c r="C333" s="1" t="s">
        <v>910</v>
      </c>
      <c r="D333" s="1" t="s">
        <v>809</v>
      </c>
      <c r="E333" s="1" t="s">
        <v>813</v>
      </c>
      <c r="F333" s="1" t="s">
        <v>69</v>
      </c>
      <c r="G333" s="1" t="s">
        <v>812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9.5"/>
    <col customWidth="1" min="3" max="3" width="13.38"/>
    <col customWidth="1" min="4" max="5" width="16.63"/>
    <col customWidth="1" min="6" max="6" width="14.38"/>
    <col customWidth="1" min="7" max="7" width="14.0"/>
    <col customWidth="1" min="8" max="8" width="13.13"/>
  </cols>
  <sheetData>
    <row r="1">
      <c r="A1" s="1" t="s">
        <v>943</v>
      </c>
      <c r="B1" s="1" t="s">
        <v>945</v>
      </c>
      <c r="C1" s="1" t="s">
        <v>946</v>
      </c>
      <c r="D1" s="1" t="s">
        <v>947</v>
      </c>
      <c r="E1" s="1" t="s">
        <v>949</v>
      </c>
      <c r="F1" s="1" t="s">
        <v>950</v>
      </c>
      <c r="G1" s="1" t="s">
        <v>952</v>
      </c>
      <c r="H1" s="16" t="s">
        <v>954</v>
      </c>
      <c r="I1" s="1" t="s">
        <v>958</v>
      </c>
      <c r="J1" s="1" t="s">
        <v>959</v>
      </c>
    </row>
    <row r="2">
      <c r="A2" s="1" t="s">
        <v>56</v>
      </c>
      <c r="B2" s="1" t="s">
        <v>58</v>
      </c>
      <c r="C2" s="1">
        <v>850.0</v>
      </c>
      <c r="D2" s="13">
        <v>46073.0</v>
      </c>
      <c r="F2" s="17">
        <f>SUMIF(StockTransactions!C:C,A2,StockTransactions!D:D)</f>
        <v>4350</v>
      </c>
      <c r="H2" s="17">
        <f t="array" ref="H2">_xlfn.XLOOKUP(A2,SKU_MasterData!A:A,SKU_MasterData!F:F)</f>
        <v>300</v>
      </c>
      <c r="J2" s="17">
        <f t="shared" ref="J2:J33" si="1">C2-F2</f>
        <v>-3500</v>
      </c>
    </row>
    <row r="3">
      <c r="A3" s="1" t="s">
        <v>262</v>
      </c>
      <c r="B3" s="1" t="s">
        <v>263</v>
      </c>
      <c r="C3" s="1">
        <v>474.0</v>
      </c>
      <c r="D3" s="13">
        <v>46073.0</v>
      </c>
      <c r="F3" s="17">
        <f>SUMIF(StockTransactions!C:C,A3,StockTransactions!D:D)</f>
        <v>474</v>
      </c>
      <c r="H3" s="17">
        <f t="array" ref="H3">_xlfn.XLOOKUP(A3,SKU_MasterData!A:A,SKU_MasterData!F:F)</f>
        <v>0</v>
      </c>
      <c r="J3" s="17">
        <f t="shared" si="1"/>
        <v>0</v>
      </c>
    </row>
    <row r="4">
      <c r="A4" s="1" t="s">
        <v>266</v>
      </c>
      <c r="B4" s="1" t="s">
        <v>267</v>
      </c>
      <c r="C4" s="1">
        <v>1637.0</v>
      </c>
      <c r="D4" s="13">
        <v>46073.0</v>
      </c>
      <c r="F4" s="17">
        <f>SUMIF(StockTransactions!C:C,A4,StockTransactions!D:D)</f>
        <v>1382</v>
      </c>
      <c r="H4" s="17">
        <f t="array" ref="H4">_xlfn.XLOOKUP(A4,SKU_MasterData!A:A,SKU_MasterData!F:F)</f>
        <v>255</v>
      </c>
      <c r="J4" s="17">
        <f t="shared" si="1"/>
        <v>255</v>
      </c>
    </row>
    <row r="5">
      <c r="A5" s="1" t="s">
        <v>272</v>
      </c>
      <c r="B5" s="1" t="s">
        <v>273</v>
      </c>
      <c r="C5" s="1">
        <v>176.0</v>
      </c>
      <c r="D5" s="13">
        <v>46073.0</v>
      </c>
      <c r="E5" s="1">
        <v>600.0</v>
      </c>
      <c r="F5" s="17">
        <f>SUMIF(StockTransactions!C:C,A5,StockTransactions!D:D)</f>
        <v>1375</v>
      </c>
      <c r="H5" s="17">
        <f t="array" ref="H5">_xlfn.XLOOKUP(A5,SKU_MasterData!A:A,SKU_MasterData!F:F)</f>
        <v>0</v>
      </c>
      <c r="J5" s="17">
        <f t="shared" si="1"/>
        <v>-1199</v>
      </c>
    </row>
    <row r="6">
      <c r="A6" s="1" t="s">
        <v>212</v>
      </c>
      <c r="B6" s="1" t="s">
        <v>285</v>
      </c>
      <c r="C6" s="1">
        <v>0.0</v>
      </c>
      <c r="D6" s="13">
        <v>46073.0</v>
      </c>
      <c r="F6" s="17">
        <f>SUMIF(StockTransactions!C:C,A6,StockTransactions!D:D)</f>
        <v>0</v>
      </c>
      <c r="H6" s="17">
        <f t="array" ref="H6">_xlfn.XLOOKUP(A6,SKU_MasterData!A:A,SKU_MasterData!F:F)</f>
        <v>0</v>
      </c>
      <c r="J6" s="17">
        <f t="shared" si="1"/>
        <v>0</v>
      </c>
    </row>
    <row r="7">
      <c r="A7" s="1" t="s">
        <v>81</v>
      </c>
      <c r="B7" s="1" t="s">
        <v>83</v>
      </c>
      <c r="C7" s="1">
        <v>0.0</v>
      </c>
      <c r="D7" s="13">
        <v>46073.0</v>
      </c>
      <c r="E7" s="1">
        <f>200+200</f>
        <v>400</v>
      </c>
      <c r="F7" s="17">
        <f>SUMIF(StockTransactions!C:C,A7,StockTransactions!D:D)</f>
        <v>800</v>
      </c>
      <c r="H7" s="17">
        <f t="array" ref="H7">_xlfn.XLOOKUP(A7,SKU_MasterData!A:A,SKU_MasterData!F:F)</f>
        <v>0</v>
      </c>
      <c r="J7" s="17">
        <f t="shared" si="1"/>
        <v>-800</v>
      </c>
    </row>
    <row r="8">
      <c r="A8" s="1" t="s">
        <v>291</v>
      </c>
      <c r="B8" s="1" t="s">
        <v>292</v>
      </c>
      <c r="C8" s="1">
        <v>392.0</v>
      </c>
      <c r="D8" s="13">
        <v>46073.0</v>
      </c>
      <c r="F8" s="17">
        <f>SUMIF(StockTransactions!C:C,A8,StockTransactions!D:D)</f>
        <v>358</v>
      </c>
      <c r="H8" s="17">
        <f t="array" ref="H8">_xlfn.XLOOKUP(A8,SKU_MasterData!A:A,SKU_MasterData!F:F)</f>
        <v>34</v>
      </c>
      <c r="J8" s="17">
        <f t="shared" si="1"/>
        <v>34</v>
      </c>
    </row>
    <row r="9">
      <c r="A9" s="1" t="s">
        <v>304</v>
      </c>
      <c r="B9" s="1" t="s">
        <v>305</v>
      </c>
      <c r="C9" s="1">
        <v>0.0</v>
      </c>
      <c r="D9" s="13">
        <v>46073.0</v>
      </c>
      <c r="F9" s="17">
        <f>SUMIF(StockTransactions!C:C,A9,StockTransactions!D:D)</f>
        <v>0</v>
      </c>
      <c r="H9" s="17">
        <f t="array" ref="H9">_xlfn.XLOOKUP(A9,SKU_MasterData!A:A,SKU_MasterData!F:F)</f>
        <v>0</v>
      </c>
      <c r="J9" s="17">
        <f t="shared" si="1"/>
        <v>0</v>
      </c>
    </row>
    <row r="10">
      <c r="A10" s="1" t="s">
        <v>33</v>
      </c>
      <c r="B10" s="1" t="s">
        <v>34</v>
      </c>
      <c r="C10" s="1">
        <v>1.0</v>
      </c>
      <c r="D10" s="13">
        <v>46073.0</v>
      </c>
      <c r="E10" s="1">
        <v>100.0</v>
      </c>
      <c r="F10" s="17">
        <f>SUMIF(StockTransactions!C:C,A10,StockTransactions!D:D)</f>
        <v>301</v>
      </c>
      <c r="H10" s="17">
        <f t="array" ref="H10">_xlfn.XLOOKUP(A10,SKU_MasterData!A:A,SKU_MasterData!F:F)</f>
        <v>100</v>
      </c>
      <c r="J10" s="17">
        <f t="shared" si="1"/>
        <v>-300</v>
      </c>
    </row>
    <row r="11">
      <c r="A11" s="1" t="s">
        <v>217</v>
      </c>
      <c r="B11" s="1" t="s">
        <v>315</v>
      </c>
      <c r="C11" s="1">
        <v>98.0</v>
      </c>
      <c r="D11" s="13">
        <v>46073.0</v>
      </c>
      <c r="F11" s="17">
        <f>SUMIF(StockTransactions!C:C,A11,StockTransactions!D:D)</f>
        <v>97</v>
      </c>
      <c r="H11" s="17">
        <f t="array" ref="H11">_xlfn.XLOOKUP(A11,SKU_MasterData!A:A,SKU_MasterData!F:F)</f>
        <v>1</v>
      </c>
      <c r="J11" s="17">
        <f t="shared" si="1"/>
        <v>1</v>
      </c>
    </row>
    <row r="12">
      <c r="A12" s="1" t="s">
        <v>321</v>
      </c>
      <c r="B12" s="1" t="s">
        <v>322</v>
      </c>
      <c r="C12" s="1">
        <v>310.0</v>
      </c>
      <c r="D12" s="13">
        <v>46073.0</v>
      </c>
      <c r="F12" s="17">
        <f>SUMIF(StockTransactions!C:C,A12,StockTransactions!D:D)</f>
        <v>170</v>
      </c>
      <c r="H12" s="17">
        <f t="array" ref="H12">_xlfn.XLOOKUP(A12,SKU_MasterData!A:A,SKU_MasterData!F:F)</f>
        <v>140</v>
      </c>
      <c r="J12" s="17">
        <f t="shared" si="1"/>
        <v>140</v>
      </c>
    </row>
    <row r="13">
      <c r="A13" s="1" t="s">
        <v>331</v>
      </c>
      <c r="B13" s="1" t="s">
        <v>332</v>
      </c>
      <c r="C13" s="1">
        <v>94.0</v>
      </c>
      <c r="D13" s="13">
        <v>46073.0</v>
      </c>
      <c r="F13" s="17">
        <f>SUMIF(StockTransactions!C:C,A13,StockTransactions!D:D)</f>
        <v>114</v>
      </c>
      <c r="H13" s="17">
        <f t="array" ref="H13">_xlfn.XLOOKUP(A13,SKU_MasterData!A:A,SKU_MasterData!F:F)</f>
        <v>6</v>
      </c>
      <c r="J13" s="17">
        <f t="shared" si="1"/>
        <v>-20</v>
      </c>
    </row>
    <row r="14">
      <c r="A14" s="1" t="s">
        <v>339</v>
      </c>
      <c r="B14" s="1" t="s">
        <v>340</v>
      </c>
      <c r="C14" s="4">
        <v>3.0</v>
      </c>
      <c r="D14" s="13">
        <v>46073.0</v>
      </c>
      <c r="F14" s="17">
        <f>SUMIF(StockTransactions!C:C,A14,StockTransactions!D:D)</f>
        <v>1</v>
      </c>
      <c r="H14" s="17">
        <f t="array" ref="H14">_xlfn.XLOOKUP(A14,SKU_MasterData!A:A,SKU_MasterData!F:F)</f>
        <v>2</v>
      </c>
      <c r="J14" s="17">
        <f t="shared" si="1"/>
        <v>2</v>
      </c>
    </row>
    <row r="15">
      <c r="A15" s="1" t="s">
        <v>347</v>
      </c>
      <c r="B15" s="1" t="s">
        <v>348</v>
      </c>
      <c r="C15" s="4">
        <v>8.0</v>
      </c>
      <c r="D15" s="13">
        <v>46073.0</v>
      </c>
      <c r="F15" s="17">
        <f>SUMIF(StockTransactions!C:C,A15,StockTransactions!D:D)</f>
        <v>0</v>
      </c>
      <c r="H15" s="17">
        <f t="array" ref="H15">_xlfn.XLOOKUP(A15,SKU_MasterData!A:A,SKU_MasterData!F:F)</f>
        <v>8</v>
      </c>
      <c r="J15" s="17">
        <f t="shared" si="1"/>
        <v>8</v>
      </c>
    </row>
    <row r="16">
      <c r="A16" s="1" t="s">
        <v>353</v>
      </c>
      <c r="B16" s="1" t="s">
        <v>354</v>
      </c>
      <c r="C16" s="4">
        <v>10.0</v>
      </c>
      <c r="D16" s="13">
        <v>46073.0</v>
      </c>
      <c r="F16" s="17">
        <f>SUMIF(StockTransactions!C:C,A16,StockTransactions!D:D)</f>
        <v>0</v>
      </c>
      <c r="H16" s="17">
        <f t="array" ref="H16">_xlfn.XLOOKUP(A16,SKU_MasterData!A:A,SKU_MasterData!F:F)</f>
        <v>10</v>
      </c>
      <c r="J16" s="17">
        <f t="shared" si="1"/>
        <v>10</v>
      </c>
    </row>
    <row r="17">
      <c r="A17" s="1" t="s">
        <v>360</v>
      </c>
      <c r="B17" s="1" t="s">
        <v>362</v>
      </c>
      <c r="C17" s="4">
        <v>2.0</v>
      </c>
      <c r="D17" s="13">
        <v>46073.0</v>
      </c>
      <c r="F17" s="17">
        <f>SUMIF(StockTransactions!C:C,A17,StockTransactions!D:D)</f>
        <v>2</v>
      </c>
      <c r="H17" s="17">
        <f t="array" ref="H17">_xlfn.XLOOKUP(A17,SKU_MasterData!A:A,SKU_MasterData!F:F)</f>
        <v>0</v>
      </c>
      <c r="J17" s="17">
        <f t="shared" si="1"/>
        <v>0</v>
      </c>
    </row>
    <row r="18">
      <c r="A18" s="1" t="s">
        <v>367</v>
      </c>
      <c r="B18" s="1" t="s">
        <v>369</v>
      </c>
      <c r="C18" s="4">
        <v>2.0</v>
      </c>
      <c r="D18" s="13">
        <v>46073.0</v>
      </c>
      <c r="F18" s="17">
        <f>SUMIF(StockTransactions!C:C,A18,StockTransactions!D:D)</f>
        <v>0</v>
      </c>
      <c r="H18" s="17">
        <f t="array" ref="H18">_xlfn.XLOOKUP(A18,SKU_MasterData!A:A,SKU_MasterData!F:F)</f>
        <v>2</v>
      </c>
      <c r="J18" s="17">
        <f t="shared" si="1"/>
        <v>2</v>
      </c>
    </row>
    <row r="19">
      <c r="A19" s="1" t="s">
        <v>376</v>
      </c>
      <c r="B19" s="1" t="s">
        <v>377</v>
      </c>
      <c r="C19" s="4">
        <v>2.0</v>
      </c>
      <c r="D19" s="13">
        <v>46073.0</v>
      </c>
      <c r="F19" s="17">
        <f>SUMIF(StockTransactions!C:C,A19,StockTransactions!D:D)</f>
        <v>0</v>
      </c>
      <c r="H19" s="17">
        <f t="array" ref="H19">_xlfn.XLOOKUP(A19,SKU_MasterData!A:A,SKU_MasterData!F:F)</f>
        <v>2</v>
      </c>
      <c r="J19" s="17">
        <f t="shared" si="1"/>
        <v>2</v>
      </c>
    </row>
    <row r="20">
      <c r="A20" s="1" t="s">
        <v>383</v>
      </c>
      <c r="B20" s="1" t="s">
        <v>384</v>
      </c>
      <c r="C20" s="4">
        <v>1.0</v>
      </c>
      <c r="D20" s="13">
        <v>46073.0</v>
      </c>
      <c r="F20" s="17">
        <f>SUMIF(StockTransactions!C:C,A20,StockTransactions!D:D)</f>
        <v>0</v>
      </c>
      <c r="H20" s="17">
        <f t="array" ref="H20">_xlfn.XLOOKUP(A20,SKU_MasterData!A:A,SKU_MasterData!F:F)</f>
        <v>1</v>
      </c>
      <c r="J20" s="17">
        <f t="shared" si="1"/>
        <v>1</v>
      </c>
    </row>
    <row r="21">
      <c r="A21" s="1" t="s">
        <v>325</v>
      </c>
      <c r="B21" s="1" t="s">
        <v>326</v>
      </c>
      <c r="C21" s="4">
        <v>5000.0</v>
      </c>
      <c r="D21" s="13">
        <v>46073.0</v>
      </c>
      <c r="F21" s="17">
        <f>SUMIF(StockTransactions!C:C,A21,StockTransactions!D:D)</f>
        <v>4700</v>
      </c>
      <c r="H21" s="17">
        <f t="array" ref="H21">_xlfn.XLOOKUP(A21,SKU_MasterData!A:A,SKU_MasterData!F:F)</f>
        <v>300</v>
      </c>
      <c r="J21" s="17">
        <f t="shared" si="1"/>
        <v>300</v>
      </c>
    </row>
    <row r="22">
      <c r="A22" s="1" t="s">
        <v>398</v>
      </c>
      <c r="B22" s="1" t="s">
        <v>399</v>
      </c>
      <c r="C22" s="4">
        <v>1.0</v>
      </c>
      <c r="D22" s="13">
        <v>46073.0</v>
      </c>
      <c r="F22" s="17">
        <f>SUMIF(StockTransactions!C:C,A22,StockTransactions!D:D)</f>
        <v>3</v>
      </c>
      <c r="H22" s="17">
        <f t="array" ref="H22">_xlfn.XLOOKUP(A22,SKU_MasterData!A:A,SKU_MasterData!F:F)</f>
        <v>2</v>
      </c>
      <c r="J22" s="17">
        <f t="shared" si="1"/>
        <v>-2</v>
      </c>
    </row>
    <row r="23">
      <c r="A23" s="1" t="s">
        <v>405</v>
      </c>
      <c r="B23" s="1" t="s">
        <v>406</v>
      </c>
      <c r="C23" s="1">
        <v>500.0</v>
      </c>
      <c r="D23" s="13">
        <v>46119.0</v>
      </c>
      <c r="F23" s="17">
        <f>SUMIF(StockTransactions!C:C,A23,StockTransactions!D:D)</f>
        <v>367</v>
      </c>
      <c r="H23" s="17">
        <f t="array" ref="H23">_xlfn.XLOOKUP(A23,SKU_MasterData!A:A,SKU_MasterData!F:F)</f>
        <v>133</v>
      </c>
      <c r="J23" s="17">
        <f t="shared" si="1"/>
        <v>133</v>
      </c>
    </row>
    <row r="24">
      <c r="A24" s="1" t="s">
        <v>412</v>
      </c>
      <c r="B24" s="1" t="s">
        <v>413</v>
      </c>
      <c r="C24" s="1">
        <v>400.0</v>
      </c>
      <c r="D24" s="13">
        <v>46112.0</v>
      </c>
      <c r="F24" s="17">
        <f>SUMIF(StockTransactions!C:C,A24,StockTransactions!D:D)</f>
        <v>315</v>
      </c>
      <c r="H24" s="17">
        <f t="array" ref="H24">_xlfn.XLOOKUP(A24,SKU_MasterData!A:A,SKU_MasterData!F:F)</f>
        <v>85</v>
      </c>
      <c r="J24" s="17">
        <f t="shared" si="1"/>
        <v>85</v>
      </c>
    </row>
    <row r="25">
      <c r="A25" s="1" t="s">
        <v>395</v>
      </c>
      <c r="B25" s="1" t="s">
        <v>425</v>
      </c>
      <c r="C25" s="1">
        <v>2000.0</v>
      </c>
      <c r="D25" s="13">
        <v>46112.0</v>
      </c>
      <c r="F25" s="17">
        <f>SUMIF(StockTransactions!C:C,A25,StockTransactions!D:D)</f>
        <v>1750</v>
      </c>
      <c r="H25" s="17">
        <f t="array" ref="H25">_xlfn.XLOOKUP(A25,SKU_MasterData!A:A,SKU_MasterData!F:F)</f>
        <v>250</v>
      </c>
      <c r="J25" s="17">
        <f t="shared" si="1"/>
        <v>250</v>
      </c>
      <c r="L25" s="1">
        <v>950.0</v>
      </c>
      <c r="M25" s="17">
        <f>L25-F25</f>
        <v>-800</v>
      </c>
    </row>
    <row r="26">
      <c r="A26" s="1" t="s">
        <v>428</v>
      </c>
      <c r="B26" s="1" t="s">
        <v>429</v>
      </c>
      <c r="C26" s="1">
        <v>600.0</v>
      </c>
      <c r="D26" s="13">
        <v>46118.0</v>
      </c>
      <c r="F26" s="17">
        <f>SUMIF(StockTransactions!C:C,A26,StockTransactions!D:D)</f>
        <v>390</v>
      </c>
      <c r="H26" s="17">
        <f t="array" ref="H26">_xlfn.XLOOKUP(A26,SKU_MasterData!A:A,SKU_MasterData!F:F)</f>
        <v>210</v>
      </c>
      <c r="J26" s="17">
        <f t="shared" si="1"/>
        <v>210</v>
      </c>
    </row>
    <row r="27">
      <c r="A27" s="1" t="s">
        <v>441</v>
      </c>
      <c r="B27" s="1" t="s">
        <v>442</v>
      </c>
      <c r="C27" s="1">
        <v>690.0</v>
      </c>
      <c r="D27" s="13">
        <v>46121.0</v>
      </c>
      <c r="F27" s="17">
        <f>SUMIF(StockTransactions!C:C,A27,StockTransactions!D:D)</f>
        <v>670</v>
      </c>
      <c r="H27" s="17">
        <f t="array" ref="H27">_xlfn.XLOOKUP(A27,SKU_MasterData!A:A,SKU_MasterData!F:F)</f>
        <v>20</v>
      </c>
      <c r="J27" s="17">
        <f t="shared" si="1"/>
        <v>20</v>
      </c>
    </row>
    <row r="28">
      <c r="A28" s="1" t="s">
        <v>448</v>
      </c>
      <c r="B28" s="1" t="s">
        <v>450</v>
      </c>
      <c r="C28" s="1">
        <v>770.0</v>
      </c>
      <c r="D28" s="13">
        <v>46114.0</v>
      </c>
      <c r="F28" s="17">
        <f>SUMIF(StockTransactions!C:C,A28,StockTransactions!D:D)</f>
        <v>770</v>
      </c>
      <c r="H28" s="17">
        <f t="array" ref="H28">_xlfn.XLOOKUP(A28,SKU_MasterData!A:A,SKU_MasterData!F:F)</f>
        <v>0</v>
      </c>
      <c r="J28" s="17">
        <f t="shared" si="1"/>
        <v>0</v>
      </c>
    </row>
    <row r="29">
      <c r="A29" s="1" t="s">
        <v>456</v>
      </c>
      <c r="B29" s="1" t="s">
        <v>457</v>
      </c>
      <c r="C29" s="1">
        <v>2.0</v>
      </c>
      <c r="D29" s="13">
        <v>46136.0</v>
      </c>
      <c r="F29" s="17">
        <f>SUMIF(StockTransactions!C:C,A29,StockTransactions!D:D)</f>
        <v>2</v>
      </c>
      <c r="H29" s="17">
        <f t="array" ref="H29">_xlfn.XLOOKUP(A29,SKU_MasterData!A:A,SKU_MasterData!F:F)</f>
        <v>0</v>
      </c>
      <c r="J29" s="17">
        <f t="shared" si="1"/>
        <v>0</v>
      </c>
    </row>
    <row r="30">
      <c r="A30" s="1" t="s">
        <v>466</v>
      </c>
      <c r="B30" s="1" t="s">
        <v>467</v>
      </c>
      <c r="C30" s="1">
        <v>2.0</v>
      </c>
      <c r="D30" s="13">
        <v>46153.0</v>
      </c>
      <c r="F30" s="17">
        <f>SUMIF(StockTransactions!C:C,A30,StockTransactions!D:D)</f>
        <v>0</v>
      </c>
      <c r="H30" s="17">
        <f t="array" ref="H30">_xlfn.XLOOKUP(A30,SKU_MasterData!A:A,SKU_MasterData!F:F)</f>
        <v>2</v>
      </c>
      <c r="J30" s="17">
        <f t="shared" si="1"/>
        <v>2</v>
      </c>
    </row>
    <row r="31">
      <c r="A31" s="1" t="s">
        <v>163</v>
      </c>
      <c r="B31" s="1" t="s">
        <v>164</v>
      </c>
      <c r="C31" s="1">
        <v>5000.0</v>
      </c>
      <c r="D31" s="13">
        <v>46157.0</v>
      </c>
      <c r="F31" s="17">
        <f>SUMIF(StockTransactions!C:C,A31,StockTransactions!D:D)</f>
        <v>705</v>
      </c>
      <c r="H31" s="17">
        <f t="array" ref="H31">_xlfn.XLOOKUP(A31,SKU_MasterData!A:A,SKU_MasterData!F:F)</f>
        <v>4295</v>
      </c>
      <c r="J31" s="17">
        <f t="shared" si="1"/>
        <v>4295</v>
      </c>
    </row>
    <row r="32">
      <c r="A32" s="1" t="s">
        <v>92</v>
      </c>
      <c r="B32" s="1" t="s">
        <v>94</v>
      </c>
      <c r="C32" s="1">
        <v>300.0</v>
      </c>
      <c r="D32" s="13">
        <v>46182.0</v>
      </c>
      <c r="F32" s="17">
        <f>SUMIF(StockTransactions!C:C,A32,StockTransactions!D:D)</f>
        <v>300</v>
      </c>
      <c r="H32" s="17">
        <f t="array" ref="H32">_xlfn.XLOOKUP(A32,SKU_MasterData!A:A,SKU_MasterData!F:F)</f>
        <v>0</v>
      </c>
      <c r="J32" s="17">
        <f t="shared" si="1"/>
        <v>0</v>
      </c>
    </row>
    <row r="33">
      <c r="A33" s="1" t="s">
        <v>484</v>
      </c>
      <c r="B33" s="1" t="s">
        <v>485</v>
      </c>
      <c r="C33" s="1">
        <v>1.0</v>
      </c>
      <c r="D33" s="13">
        <v>46189.0</v>
      </c>
      <c r="F33" s="17">
        <f>SUMIF(StockTransactions!C:C,A33,StockTransactions!D:D)</f>
        <v>1</v>
      </c>
      <c r="H33" s="17">
        <f t="array" ref="H33">_xlfn.XLOOKUP(A33,SKU_MasterData!A:A,SKU_MasterData!F:F)</f>
        <v>0</v>
      </c>
      <c r="J33" s="17">
        <f t="shared" si="1"/>
        <v>0</v>
      </c>
    </row>
    <row r="34">
      <c r="H34" s="17"/>
    </row>
    <row r="35">
      <c r="H35" s="17"/>
    </row>
    <row r="36">
      <c r="H36" s="17"/>
    </row>
    <row r="37">
      <c r="H37" s="17"/>
    </row>
    <row r="38">
      <c r="G38" s="17">
        <f>C31-F31</f>
        <v>4295</v>
      </c>
      <c r="H38" s="17"/>
    </row>
    <row r="39">
      <c r="H39" s="17"/>
    </row>
    <row r="40">
      <c r="H40" s="17"/>
    </row>
    <row r="41">
      <c r="H41" s="17"/>
    </row>
    <row r="42">
      <c r="H42" s="17"/>
    </row>
    <row r="43">
      <c r="H43" s="17"/>
    </row>
    <row r="44">
      <c r="H44" s="17"/>
    </row>
    <row r="45">
      <c r="H45" s="17"/>
    </row>
    <row r="46">
      <c r="H46" s="17"/>
    </row>
    <row r="47">
      <c r="H47" s="17"/>
    </row>
    <row r="48">
      <c r="H48" s="17"/>
    </row>
    <row r="49">
      <c r="H49" s="17"/>
    </row>
    <row r="50">
      <c r="H50" s="17"/>
    </row>
    <row r="51">
      <c r="H51" s="17"/>
    </row>
    <row r="52">
      <c r="H52" s="17"/>
    </row>
    <row r="53">
      <c r="H53" s="17"/>
    </row>
    <row r="54">
      <c r="H54" s="17"/>
    </row>
    <row r="55">
      <c r="H55" s="17"/>
    </row>
    <row r="56">
      <c r="H56" s="17"/>
    </row>
    <row r="57">
      <c r="H57" s="17"/>
    </row>
    <row r="58">
      <c r="H58" s="17"/>
    </row>
    <row r="59">
      <c r="H59" s="17"/>
    </row>
    <row r="60">
      <c r="H60" s="17"/>
    </row>
    <row r="61">
      <c r="H61" s="17"/>
    </row>
    <row r="62">
      <c r="H62" s="17"/>
    </row>
    <row r="63">
      <c r="H63" s="17"/>
    </row>
    <row r="64">
      <c r="H64" s="17"/>
    </row>
    <row r="65">
      <c r="H65" s="17"/>
    </row>
    <row r="66">
      <c r="H66" s="17"/>
    </row>
    <row r="67">
      <c r="H67" s="17"/>
    </row>
    <row r="68">
      <c r="H68" s="17"/>
    </row>
    <row r="69">
      <c r="H69" s="17"/>
    </row>
    <row r="70">
      <c r="H70" s="17"/>
    </row>
    <row r="71">
      <c r="H71" s="17"/>
    </row>
    <row r="72">
      <c r="H72" s="17"/>
    </row>
    <row r="73">
      <c r="H73" s="17"/>
    </row>
    <row r="74">
      <c r="H74" s="17"/>
    </row>
    <row r="75">
      <c r="H75" s="17"/>
    </row>
    <row r="76">
      <c r="H76" s="17"/>
    </row>
    <row r="77">
      <c r="H77" s="17"/>
    </row>
    <row r="78">
      <c r="H78" s="17"/>
    </row>
    <row r="79">
      <c r="H79" s="17"/>
    </row>
    <row r="80">
      <c r="H80" s="17"/>
    </row>
    <row r="81">
      <c r="H81" s="17"/>
    </row>
    <row r="82">
      <c r="H82" s="17"/>
    </row>
    <row r="83">
      <c r="H83" s="17"/>
    </row>
    <row r="84">
      <c r="H84" s="17"/>
    </row>
    <row r="85">
      <c r="H85" s="17"/>
    </row>
    <row r="86">
      <c r="H86" s="17"/>
    </row>
    <row r="87">
      <c r="H87" s="17"/>
    </row>
    <row r="88">
      <c r="H88" s="17"/>
    </row>
    <row r="89">
      <c r="H89" s="17"/>
    </row>
    <row r="90">
      <c r="H90" s="17"/>
    </row>
    <row r="91">
      <c r="H91" s="17"/>
    </row>
    <row r="92">
      <c r="H92" s="17"/>
    </row>
    <row r="93">
      <c r="H93" s="17"/>
    </row>
    <row r="94">
      <c r="H94" s="17"/>
    </row>
    <row r="95"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  <row r="192">
      <c r="H192" s="17"/>
    </row>
    <row r="193">
      <c r="H193" s="17"/>
    </row>
    <row r="194">
      <c r="H194" s="17"/>
    </row>
    <row r="195">
      <c r="H195" s="17"/>
    </row>
    <row r="196">
      <c r="H196" s="17"/>
    </row>
    <row r="197">
      <c r="H197" s="17"/>
    </row>
    <row r="198">
      <c r="H198" s="17"/>
    </row>
    <row r="199">
      <c r="H199" s="17"/>
    </row>
    <row r="200">
      <c r="H200" s="17"/>
    </row>
    <row r="201">
      <c r="H201" s="17"/>
    </row>
    <row r="202">
      <c r="H202" s="17"/>
    </row>
    <row r="203">
      <c r="H203" s="17"/>
    </row>
    <row r="204">
      <c r="H204" s="17"/>
    </row>
    <row r="205">
      <c r="H205" s="17"/>
    </row>
    <row r="206">
      <c r="H206" s="17"/>
    </row>
    <row r="207">
      <c r="H207" s="17"/>
    </row>
    <row r="208">
      <c r="H208" s="17"/>
    </row>
    <row r="209">
      <c r="H209" s="17"/>
    </row>
    <row r="210">
      <c r="H210" s="17"/>
    </row>
    <row r="211">
      <c r="H211" s="17"/>
    </row>
    <row r="212">
      <c r="H212" s="17"/>
    </row>
    <row r="213">
      <c r="H213" s="17"/>
    </row>
    <row r="214">
      <c r="H214" s="17"/>
    </row>
    <row r="215">
      <c r="H215" s="17"/>
    </row>
    <row r="216">
      <c r="H216" s="17"/>
    </row>
    <row r="217">
      <c r="H217" s="17"/>
    </row>
    <row r="218">
      <c r="H218" s="17"/>
    </row>
    <row r="219">
      <c r="H219" s="17"/>
    </row>
    <row r="220">
      <c r="H220" s="17"/>
    </row>
    <row r="221">
      <c r="H221" s="17"/>
    </row>
    <row r="222">
      <c r="H222" s="17"/>
    </row>
    <row r="223">
      <c r="H223" s="17"/>
    </row>
    <row r="224">
      <c r="H224" s="17"/>
    </row>
    <row r="225">
      <c r="H225" s="17"/>
    </row>
    <row r="226">
      <c r="H226" s="17"/>
    </row>
    <row r="227">
      <c r="H227" s="17"/>
    </row>
    <row r="228">
      <c r="H228" s="17"/>
    </row>
    <row r="229">
      <c r="H229" s="17"/>
    </row>
    <row r="230">
      <c r="H230" s="17"/>
    </row>
    <row r="231">
      <c r="H231" s="17"/>
    </row>
    <row r="232">
      <c r="H232" s="17"/>
    </row>
    <row r="233">
      <c r="H233" s="17"/>
    </row>
    <row r="234">
      <c r="H234" s="17"/>
    </row>
    <row r="235">
      <c r="H235" s="17"/>
    </row>
    <row r="236">
      <c r="H236" s="17"/>
    </row>
    <row r="237">
      <c r="H237" s="17"/>
    </row>
    <row r="238">
      <c r="H238" s="17"/>
    </row>
    <row r="239">
      <c r="H239" s="17"/>
    </row>
    <row r="240">
      <c r="H240" s="17"/>
    </row>
    <row r="241">
      <c r="H241" s="17"/>
    </row>
    <row r="242">
      <c r="H242" s="17"/>
    </row>
    <row r="243">
      <c r="H243" s="17"/>
    </row>
    <row r="244">
      <c r="H244" s="17"/>
    </row>
    <row r="245">
      <c r="H245" s="17"/>
    </row>
    <row r="246">
      <c r="H246" s="17"/>
    </row>
    <row r="247">
      <c r="H247" s="17"/>
    </row>
    <row r="248">
      <c r="H248" s="17"/>
    </row>
    <row r="249">
      <c r="H249" s="17"/>
    </row>
    <row r="250">
      <c r="H250" s="17"/>
    </row>
    <row r="251">
      <c r="H251" s="17"/>
    </row>
    <row r="252">
      <c r="H252" s="17"/>
    </row>
    <row r="253">
      <c r="H253" s="17"/>
    </row>
    <row r="254">
      <c r="H254" s="17"/>
    </row>
    <row r="255">
      <c r="H255" s="17"/>
    </row>
    <row r="256">
      <c r="H256" s="17"/>
    </row>
    <row r="257">
      <c r="H257" s="17"/>
    </row>
    <row r="258">
      <c r="H258" s="17"/>
    </row>
    <row r="259">
      <c r="H259" s="17"/>
    </row>
    <row r="260">
      <c r="H260" s="17"/>
    </row>
    <row r="261">
      <c r="H261" s="17"/>
    </row>
    <row r="262">
      <c r="H262" s="17"/>
    </row>
    <row r="263">
      <c r="H263" s="17"/>
    </row>
    <row r="264">
      <c r="H264" s="17"/>
    </row>
    <row r="265">
      <c r="H265" s="17"/>
    </row>
    <row r="266">
      <c r="H266" s="17"/>
    </row>
    <row r="267">
      <c r="H267" s="17"/>
    </row>
    <row r="268">
      <c r="H268" s="17"/>
    </row>
    <row r="269">
      <c r="H269" s="17"/>
    </row>
    <row r="270">
      <c r="H270" s="17"/>
    </row>
    <row r="271">
      <c r="H271" s="17"/>
    </row>
    <row r="272">
      <c r="H272" s="17"/>
    </row>
    <row r="273">
      <c r="H273" s="17"/>
    </row>
    <row r="274">
      <c r="H274" s="17"/>
    </row>
    <row r="275">
      <c r="H275" s="17"/>
    </row>
    <row r="276">
      <c r="H276" s="17"/>
    </row>
    <row r="277">
      <c r="H277" s="17"/>
    </row>
    <row r="278">
      <c r="H278" s="17"/>
    </row>
    <row r="279">
      <c r="H279" s="17"/>
    </row>
    <row r="280">
      <c r="H280" s="17"/>
    </row>
    <row r="281">
      <c r="H281" s="17"/>
    </row>
    <row r="282">
      <c r="H282" s="17"/>
    </row>
    <row r="283">
      <c r="H283" s="17"/>
    </row>
    <row r="284">
      <c r="H284" s="17"/>
    </row>
    <row r="285">
      <c r="H285" s="17"/>
    </row>
    <row r="286">
      <c r="H286" s="17"/>
    </row>
    <row r="287">
      <c r="H287" s="17"/>
    </row>
    <row r="288">
      <c r="H288" s="17"/>
    </row>
    <row r="289">
      <c r="H289" s="17"/>
    </row>
    <row r="290">
      <c r="H290" s="17"/>
    </row>
    <row r="291">
      <c r="H291" s="17"/>
    </row>
    <row r="292">
      <c r="H292" s="17"/>
    </row>
    <row r="293">
      <c r="H293" s="17"/>
    </row>
    <row r="294">
      <c r="H294" s="17"/>
    </row>
    <row r="295">
      <c r="H295" s="17"/>
    </row>
    <row r="296">
      <c r="H296" s="17"/>
    </row>
    <row r="297">
      <c r="H297" s="17"/>
    </row>
    <row r="298">
      <c r="H298" s="17"/>
    </row>
    <row r="299">
      <c r="H299" s="17"/>
    </row>
    <row r="300">
      <c r="H300" s="17"/>
    </row>
    <row r="301">
      <c r="H301" s="17"/>
    </row>
    <row r="302">
      <c r="H302" s="17"/>
    </row>
    <row r="303">
      <c r="H303" s="17"/>
    </row>
    <row r="304">
      <c r="H304" s="17"/>
    </row>
    <row r="305">
      <c r="H305" s="17"/>
    </row>
    <row r="306">
      <c r="H306" s="17"/>
    </row>
    <row r="307">
      <c r="H307" s="17"/>
    </row>
    <row r="308">
      <c r="H308" s="17"/>
    </row>
    <row r="309">
      <c r="H309" s="17"/>
    </row>
    <row r="310">
      <c r="H310" s="17"/>
    </row>
    <row r="311">
      <c r="H311" s="17"/>
    </row>
    <row r="312">
      <c r="H312" s="17"/>
    </row>
    <row r="313">
      <c r="H313" s="17"/>
    </row>
    <row r="314">
      <c r="H314" s="17"/>
    </row>
    <row r="315">
      <c r="H315" s="17"/>
    </row>
    <row r="316">
      <c r="H316" s="17"/>
    </row>
    <row r="317">
      <c r="H317" s="17"/>
    </row>
    <row r="318">
      <c r="H318" s="17"/>
    </row>
    <row r="319">
      <c r="H319" s="17"/>
    </row>
    <row r="320">
      <c r="H320" s="17"/>
    </row>
    <row r="321">
      <c r="H321" s="17"/>
    </row>
    <row r="322">
      <c r="H322" s="17"/>
    </row>
    <row r="323">
      <c r="H323" s="17"/>
    </row>
    <row r="324">
      <c r="H324" s="17"/>
    </row>
    <row r="325">
      <c r="H325" s="17"/>
    </row>
    <row r="326">
      <c r="H326" s="17"/>
    </row>
    <row r="327">
      <c r="H327" s="17"/>
    </row>
    <row r="328">
      <c r="H328" s="17"/>
    </row>
    <row r="329">
      <c r="H329" s="17"/>
    </row>
    <row r="330">
      <c r="H330" s="17"/>
    </row>
    <row r="331">
      <c r="H331" s="17"/>
    </row>
    <row r="332">
      <c r="H332" s="17"/>
    </row>
    <row r="333">
      <c r="H333" s="17"/>
    </row>
    <row r="334">
      <c r="H334" s="17"/>
    </row>
    <row r="335">
      <c r="H335" s="17"/>
    </row>
    <row r="336">
      <c r="H336" s="17"/>
    </row>
    <row r="337">
      <c r="H337" s="17"/>
    </row>
    <row r="338">
      <c r="H338" s="17"/>
    </row>
    <row r="339">
      <c r="H339" s="17"/>
    </row>
    <row r="340">
      <c r="H340" s="17"/>
    </row>
    <row r="341">
      <c r="H341" s="17"/>
    </row>
    <row r="342">
      <c r="H342" s="17"/>
    </row>
    <row r="343">
      <c r="H343" s="17"/>
    </row>
    <row r="344">
      <c r="H344" s="17"/>
    </row>
    <row r="345">
      <c r="H345" s="17"/>
    </row>
    <row r="346">
      <c r="H346" s="17"/>
    </row>
    <row r="347">
      <c r="H347" s="17"/>
    </row>
    <row r="348">
      <c r="H348" s="17"/>
    </row>
    <row r="349">
      <c r="H349" s="17"/>
    </row>
    <row r="350">
      <c r="H350" s="17"/>
    </row>
    <row r="351">
      <c r="H351" s="17"/>
    </row>
    <row r="352">
      <c r="H352" s="17"/>
    </row>
    <row r="353">
      <c r="H353" s="17"/>
    </row>
    <row r="354">
      <c r="H354" s="17"/>
    </row>
    <row r="355">
      <c r="H355" s="17"/>
    </row>
    <row r="356">
      <c r="H356" s="17"/>
    </row>
    <row r="357">
      <c r="H357" s="17"/>
    </row>
    <row r="358">
      <c r="H358" s="17"/>
    </row>
    <row r="359">
      <c r="H359" s="17"/>
    </row>
    <row r="360">
      <c r="H360" s="17"/>
    </row>
    <row r="361">
      <c r="H361" s="17"/>
    </row>
    <row r="362">
      <c r="H362" s="17"/>
    </row>
    <row r="363">
      <c r="H363" s="17"/>
    </row>
    <row r="364">
      <c r="H364" s="17"/>
    </row>
    <row r="365">
      <c r="H365" s="17"/>
    </row>
    <row r="366">
      <c r="H366" s="17"/>
    </row>
    <row r="367">
      <c r="H367" s="17"/>
    </row>
    <row r="368">
      <c r="H368" s="17"/>
    </row>
    <row r="369">
      <c r="H369" s="17"/>
    </row>
    <row r="370">
      <c r="H370" s="17"/>
    </row>
    <row r="371">
      <c r="H371" s="17"/>
    </row>
    <row r="372">
      <c r="H372" s="17"/>
    </row>
    <row r="373">
      <c r="H373" s="17"/>
    </row>
    <row r="374">
      <c r="H374" s="17"/>
    </row>
    <row r="375">
      <c r="H375" s="17"/>
    </row>
    <row r="376">
      <c r="H376" s="17"/>
    </row>
    <row r="377">
      <c r="H377" s="17"/>
    </row>
    <row r="378">
      <c r="H378" s="17"/>
    </row>
    <row r="379">
      <c r="H379" s="17"/>
    </row>
    <row r="380">
      <c r="H380" s="17"/>
    </row>
    <row r="381">
      <c r="H381" s="17"/>
    </row>
    <row r="382">
      <c r="H382" s="17"/>
    </row>
    <row r="383">
      <c r="H383" s="17"/>
    </row>
    <row r="384">
      <c r="H384" s="17"/>
    </row>
    <row r="385">
      <c r="H385" s="17"/>
    </row>
    <row r="386">
      <c r="H386" s="17"/>
    </row>
    <row r="387">
      <c r="H387" s="17"/>
    </row>
    <row r="388">
      <c r="H388" s="17"/>
    </row>
    <row r="389">
      <c r="H389" s="17"/>
    </row>
    <row r="390">
      <c r="H390" s="17"/>
    </row>
    <row r="391">
      <c r="H391" s="17"/>
    </row>
    <row r="392">
      <c r="H392" s="17"/>
    </row>
    <row r="393">
      <c r="H393" s="17"/>
    </row>
    <row r="394">
      <c r="H394" s="17"/>
    </row>
    <row r="395">
      <c r="H395" s="17"/>
    </row>
    <row r="396">
      <c r="H396" s="17"/>
    </row>
    <row r="397">
      <c r="H397" s="17"/>
    </row>
    <row r="398">
      <c r="H398" s="17"/>
    </row>
    <row r="399">
      <c r="H399" s="17"/>
    </row>
    <row r="400">
      <c r="H400" s="17"/>
    </row>
    <row r="401">
      <c r="H401" s="17"/>
    </row>
    <row r="402">
      <c r="H402" s="17"/>
    </row>
    <row r="403">
      <c r="H403" s="17"/>
    </row>
    <row r="404">
      <c r="H404" s="17"/>
    </row>
    <row r="405">
      <c r="H405" s="17"/>
    </row>
    <row r="406">
      <c r="H406" s="17"/>
    </row>
    <row r="407">
      <c r="H407" s="17"/>
    </row>
    <row r="408">
      <c r="H408" s="17"/>
    </row>
    <row r="409">
      <c r="H409" s="17"/>
    </row>
    <row r="410">
      <c r="H410" s="17"/>
    </row>
    <row r="411">
      <c r="H411" s="17"/>
    </row>
    <row r="412">
      <c r="H412" s="17"/>
    </row>
    <row r="413">
      <c r="H413" s="17"/>
    </row>
    <row r="414">
      <c r="H414" s="17"/>
    </row>
    <row r="415">
      <c r="H415" s="17"/>
    </row>
    <row r="416">
      <c r="H416" s="17"/>
    </row>
    <row r="417">
      <c r="H417" s="17"/>
    </row>
    <row r="418">
      <c r="H418" s="17"/>
    </row>
    <row r="419">
      <c r="H419" s="17"/>
    </row>
    <row r="420">
      <c r="H420" s="17"/>
    </row>
    <row r="421">
      <c r="H421" s="17"/>
    </row>
    <row r="422">
      <c r="H422" s="17"/>
    </row>
    <row r="423">
      <c r="H423" s="17"/>
    </row>
    <row r="424">
      <c r="H424" s="17"/>
    </row>
    <row r="425">
      <c r="H425" s="17"/>
    </row>
    <row r="426">
      <c r="H426" s="17"/>
    </row>
    <row r="427">
      <c r="H427" s="17"/>
    </row>
    <row r="428">
      <c r="H428" s="17"/>
    </row>
    <row r="429">
      <c r="H429" s="17"/>
    </row>
    <row r="430">
      <c r="H430" s="17"/>
    </row>
    <row r="431">
      <c r="H431" s="17"/>
    </row>
    <row r="432">
      <c r="H432" s="17"/>
    </row>
    <row r="433">
      <c r="H433" s="17"/>
    </row>
    <row r="434">
      <c r="H434" s="17"/>
    </row>
    <row r="435">
      <c r="H435" s="17"/>
    </row>
    <row r="436">
      <c r="H436" s="17"/>
    </row>
    <row r="437">
      <c r="H437" s="17"/>
    </row>
    <row r="438">
      <c r="H438" s="17"/>
    </row>
    <row r="439">
      <c r="H439" s="17"/>
    </row>
    <row r="440">
      <c r="H440" s="17"/>
    </row>
    <row r="441">
      <c r="H441" s="17"/>
    </row>
    <row r="442">
      <c r="H442" s="17"/>
    </row>
    <row r="443">
      <c r="H443" s="17"/>
    </row>
    <row r="444">
      <c r="H444" s="17"/>
    </row>
    <row r="445">
      <c r="H445" s="17"/>
    </row>
    <row r="446">
      <c r="H446" s="17"/>
    </row>
    <row r="447">
      <c r="H447" s="17"/>
    </row>
    <row r="448">
      <c r="H448" s="17"/>
    </row>
    <row r="449">
      <c r="H449" s="17"/>
    </row>
    <row r="450">
      <c r="H450" s="17"/>
    </row>
    <row r="451">
      <c r="H451" s="17"/>
    </row>
    <row r="452">
      <c r="H452" s="17"/>
    </row>
    <row r="453">
      <c r="H453" s="17"/>
    </row>
    <row r="454">
      <c r="H454" s="17"/>
    </row>
    <row r="455">
      <c r="H455" s="17"/>
    </row>
    <row r="456">
      <c r="H456" s="17"/>
    </row>
    <row r="457">
      <c r="H457" s="17"/>
    </row>
    <row r="458">
      <c r="H458" s="17"/>
    </row>
    <row r="459">
      <c r="H459" s="17"/>
    </row>
    <row r="460">
      <c r="H460" s="17"/>
    </row>
    <row r="461">
      <c r="H461" s="17"/>
    </row>
    <row r="462">
      <c r="H462" s="17"/>
    </row>
    <row r="463">
      <c r="H463" s="17"/>
    </row>
    <row r="464">
      <c r="H464" s="17"/>
    </row>
    <row r="465">
      <c r="H465" s="17"/>
    </row>
    <row r="466">
      <c r="H466" s="17"/>
    </row>
    <row r="467">
      <c r="H467" s="17"/>
    </row>
    <row r="468">
      <c r="H468" s="17"/>
    </row>
    <row r="469">
      <c r="H469" s="17"/>
    </row>
    <row r="470">
      <c r="H470" s="17"/>
    </row>
    <row r="471">
      <c r="H471" s="17"/>
    </row>
    <row r="472">
      <c r="H472" s="17"/>
    </row>
    <row r="473">
      <c r="H473" s="17"/>
    </row>
    <row r="474">
      <c r="H474" s="17"/>
    </row>
    <row r="475">
      <c r="H475" s="17"/>
    </row>
    <row r="476">
      <c r="H476" s="17"/>
    </row>
    <row r="477">
      <c r="H477" s="17"/>
    </row>
    <row r="478">
      <c r="H478" s="17"/>
    </row>
    <row r="479">
      <c r="H479" s="17"/>
    </row>
    <row r="480">
      <c r="H480" s="17"/>
    </row>
    <row r="481">
      <c r="H481" s="17"/>
    </row>
    <row r="482">
      <c r="H482" s="17"/>
    </row>
    <row r="483">
      <c r="H483" s="17"/>
    </row>
    <row r="484">
      <c r="H484" s="17"/>
    </row>
    <row r="485">
      <c r="H485" s="17"/>
    </row>
    <row r="486">
      <c r="H486" s="17"/>
    </row>
    <row r="487">
      <c r="H487" s="17"/>
    </row>
    <row r="488">
      <c r="H488" s="17"/>
    </row>
    <row r="489">
      <c r="H489" s="17"/>
    </row>
    <row r="490">
      <c r="H490" s="17"/>
    </row>
    <row r="491">
      <c r="H491" s="17"/>
    </row>
    <row r="492">
      <c r="H492" s="17"/>
    </row>
    <row r="493">
      <c r="H493" s="17"/>
    </row>
    <row r="494">
      <c r="H494" s="17"/>
    </row>
    <row r="495">
      <c r="H495" s="17"/>
    </row>
    <row r="496">
      <c r="H496" s="17"/>
    </row>
    <row r="497">
      <c r="H497" s="17"/>
    </row>
    <row r="498">
      <c r="H498" s="17"/>
    </row>
    <row r="499">
      <c r="H499" s="17"/>
    </row>
    <row r="500">
      <c r="H500" s="17"/>
    </row>
    <row r="501">
      <c r="H501" s="17"/>
    </row>
    <row r="502">
      <c r="H502" s="17"/>
    </row>
    <row r="503">
      <c r="H503" s="17"/>
    </row>
    <row r="504">
      <c r="H504" s="17"/>
    </row>
    <row r="505">
      <c r="H505" s="17"/>
    </row>
    <row r="506">
      <c r="H506" s="17"/>
    </row>
    <row r="507">
      <c r="H507" s="17"/>
    </row>
    <row r="508">
      <c r="H508" s="17"/>
    </row>
    <row r="509">
      <c r="H509" s="17"/>
    </row>
    <row r="510">
      <c r="H510" s="17"/>
    </row>
    <row r="511">
      <c r="H511" s="17"/>
    </row>
    <row r="512">
      <c r="H512" s="17"/>
    </row>
    <row r="513">
      <c r="H513" s="17"/>
    </row>
    <row r="514">
      <c r="H514" s="17"/>
    </row>
    <row r="515">
      <c r="H515" s="17"/>
    </row>
    <row r="516">
      <c r="H516" s="17"/>
    </row>
    <row r="517">
      <c r="H517" s="17"/>
    </row>
    <row r="518">
      <c r="H518" s="17"/>
    </row>
    <row r="519">
      <c r="H519" s="17"/>
    </row>
    <row r="520">
      <c r="H520" s="17"/>
    </row>
    <row r="521">
      <c r="H521" s="17"/>
    </row>
    <row r="522">
      <c r="H522" s="17"/>
    </row>
    <row r="523">
      <c r="H523" s="17"/>
    </row>
    <row r="524">
      <c r="H524" s="17"/>
    </row>
    <row r="525">
      <c r="H525" s="17"/>
    </row>
    <row r="526">
      <c r="H526" s="17"/>
    </row>
    <row r="527">
      <c r="H527" s="17"/>
    </row>
    <row r="528">
      <c r="H528" s="17"/>
    </row>
    <row r="529">
      <c r="H529" s="17"/>
    </row>
    <row r="530">
      <c r="H530" s="17"/>
    </row>
    <row r="531">
      <c r="H531" s="17"/>
    </row>
    <row r="532">
      <c r="H532" s="17"/>
    </row>
    <row r="533">
      <c r="H533" s="17"/>
    </row>
    <row r="534">
      <c r="H534" s="17"/>
    </row>
    <row r="535">
      <c r="H535" s="17"/>
    </row>
    <row r="536">
      <c r="H536" s="17"/>
    </row>
    <row r="537">
      <c r="H537" s="17"/>
    </row>
    <row r="538">
      <c r="H538" s="17"/>
    </row>
    <row r="539">
      <c r="H539" s="17"/>
    </row>
    <row r="540">
      <c r="H540" s="17"/>
    </row>
    <row r="541">
      <c r="H541" s="17"/>
    </row>
    <row r="542">
      <c r="H542" s="17"/>
    </row>
    <row r="543">
      <c r="H543" s="17"/>
    </row>
    <row r="544">
      <c r="H544" s="17"/>
    </row>
    <row r="545">
      <c r="H545" s="17"/>
    </row>
    <row r="546">
      <c r="H546" s="17"/>
    </row>
    <row r="547">
      <c r="H547" s="17"/>
    </row>
    <row r="548">
      <c r="H548" s="17"/>
    </row>
    <row r="549">
      <c r="H549" s="17"/>
    </row>
    <row r="550">
      <c r="H550" s="17"/>
    </row>
    <row r="551">
      <c r="H551" s="17"/>
    </row>
    <row r="552">
      <c r="H552" s="17"/>
    </row>
    <row r="553">
      <c r="H553" s="17"/>
    </row>
    <row r="554">
      <c r="H554" s="17"/>
    </row>
    <row r="555">
      <c r="H555" s="17"/>
    </row>
    <row r="556">
      <c r="H556" s="17"/>
    </row>
    <row r="557">
      <c r="H557" s="17"/>
    </row>
    <row r="558">
      <c r="H558" s="17"/>
    </row>
    <row r="559">
      <c r="H559" s="17"/>
    </row>
    <row r="560">
      <c r="H560" s="17"/>
    </row>
    <row r="561">
      <c r="H561" s="17"/>
    </row>
    <row r="562">
      <c r="H562" s="17"/>
    </row>
    <row r="563">
      <c r="H563" s="17"/>
    </row>
    <row r="564">
      <c r="H564" s="17"/>
    </row>
    <row r="565">
      <c r="H565" s="17"/>
    </row>
    <row r="566">
      <c r="H566" s="17"/>
    </row>
    <row r="567">
      <c r="H567" s="17"/>
    </row>
    <row r="568">
      <c r="H568" s="17"/>
    </row>
    <row r="569">
      <c r="H569" s="17"/>
    </row>
    <row r="570">
      <c r="H570" s="17"/>
    </row>
    <row r="571">
      <c r="H571" s="17"/>
    </row>
    <row r="572">
      <c r="H572" s="17"/>
    </row>
    <row r="573">
      <c r="H573" s="17"/>
    </row>
    <row r="574">
      <c r="H574" s="17"/>
    </row>
    <row r="575">
      <c r="H575" s="17"/>
    </row>
    <row r="576">
      <c r="H576" s="17"/>
    </row>
    <row r="577">
      <c r="H577" s="17"/>
    </row>
    <row r="578">
      <c r="H578" s="17"/>
    </row>
    <row r="579">
      <c r="H579" s="17"/>
    </row>
    <row r="580">
      <c r="H580" s="17"/>
    </row>
    <row r="581">
      <c r="H581" s="17"/>
    </row>
    <row r="582">
      <c r="H582" s="17"/>
    </row>
    <row r="583">
      <c r="H583" s="17"/>
    </row>
    <row r="584">
      <c r="H584" s="17"/>
    </row>
    <row r="585">
      <c r="H585" s="17"/>
    </row>
    <row r="586">
      <c r="H586" s="17"/>
    </row>
    <row r="587">
      <c r="H587" s="17"/>
    </row>
    <row r="588">
      <c r="H588" s="17"/>
    </row>
    <row r="589">
      <c r="H589" s="17"/>
    </row>
    <row r="590">
      <c r="H590" s="17"/>
    </row>
    <row r="591">
      <c r="H591" s="17"/>
    </row>
    <row r="592">
      <c r="H592" s="17"/>
    </row>
    <row r="593">
      <c r="H593" s="17"/>
    </row>
    <row r="594">
      <c r="H594" s="17"/>
    </row>
    <row r="595">
      <c r="H595" s="17"/>
    </row>
    <row r="596">
      <c r="H596" s="17"/>
    </row>
    <row r="597">
      <c r="H597" s="17"/>
    </row>
    <row r="598">
      <c r="H598" s="17"/>
    </row>
    <row r="599">
      <c r="H599" s="17"/>
    </row>
    <row r="600">
      <c r="H600" s="17"/>
    </row>
    <row r="601">
      <c r="H601" s="17"/>
    </row>
    <row r="602">
      <c r="H602" s="17"/>
    </row>
    <row r="603">
      <c r="H603" s="17"/>
    </row>
    <row r="604">
      <c r="H604" s="17"/>
    </row>
    <row r="605">
      <c r="H605" s="17"/>
    </row>
    <row r="606">
      <c r="H606" s="17"/>
    </row>
    <row r="607">
      <c r="H607" s="17"/>
    </row>
    <row r="608">
      <c r="H608" s="17"/>
    </row>
    <row r="609">
      <c r="H609" s="17"/>
    </row>
    <row r="610">
      <c r="H610" s="17"/>
    </row>
    <row r="611">
      <c r="H611" s="17"/>
    </row>
    <row r="612">
      <c r="H612" s="17"/>
    </row>
    <row r="613">
      <c r="H613" s="17"/>
    </row>
    <row r="614">
      <c r="H614" s="17"/>
    </row>
    <row r="615">
      <c r="H615" s="17"/>
    </row>
    <row r="616">
      <c r="H616" s="17"/>
    </row>
    <row r="617">
      <c r="H617" s="17"/>
    </row>
    <row r="618">
      <c r="H618" s="17"/>
    </row>
    <row r="619">
      <c r="H619" s="17"/>
    </row>
    <row r="620">
      <c r="H620" s="17"/>
    </row>
    <row r="621">
      <c r="H621" s="17"/>
    </row>
    <row r="622">
      <c r="H622" s="17"/>
    </row>
    <row r="623">
      <c r="H623" s="17"/>
    </row>
    <row r="624">
      <c r="H624" s="17"/>
    </row>
    <row r="625">
      <c r="H625" s="17"/>
    </row>
    <row r="626">
      <c r="H626" s="17"/>
    </row>
    <row r="627">
      <c r="H627" s="17"/>
    </row>
    <row r="628">
      <c r="H628" s="17"/>
    </row>
    <row r="629">
      <c r="H629" s="17"/>
    </row>
    <row r="630">
      <c r="H630" s="17"/>
    </row>
    <row r="631">
      <c r="H631" s="17"/>
    </row>
    <row r="632">
      <c r="H632" s="17"/>
    </row>
    <row r="633">
      <c r="H633" s="17"/>
    </row>
    <row r="634">
      <c r="H634" s="17"/>
    </row>
    <row r="635">
      <c r="H635" s="17"/>
    </row>
    <row r="636">
      <c r="H636" s="17"/>
    </row>
    <row r="637">
      <c r="H637" s="17"/>
    </row>
    <row r="638">
      <c r="H638" s="17"/>
    </row>
    <row r="639">
      <c r="H639" s="17"/>
    </row>
    <row r="640">
      <c r="H640" s="17"/>
    </row>
    <row r="641">
      <c r="H641" s="17"/>
    </row>
    <row r="642">
      <c r="H642" s="17"/>
    </row>
    <row r="643">
      <c r="H643" s="17"/>
    </row>
    <row r="644">
      <c r="H644" s="17"/>
    </row>
    <row r="645">
      <c r="H645" s="17"/>
    </row>
    <row r="646">
      <c r="H646" s="17"/>
    </row>
    <row r="647">
      <c r="H647" s="17"/>
    </row>
    <row r="648">
      <c r="H648" s="17"/>
    </row>
    <row r="649">
      <c r="H649" s="17"/>
    </row>
    <row r="650">
      <c r="H650" s="17"/>
    </row>
    <row r="651">
      <c r="H651" s="17"/>
    </row>
    <row r="652">
      <c r="H652" s="17"/>
    </row>
    <row r="653">
      <c r="H653" s="17"/>
    </row>
    <row r="654">
      <c r="H654" s="17"/>
    </row>
    <row r="655">
      <c r="H655" s="17"/>
    </row>
    <row r="656">
      <c r="H656" s="17"/>
    </row>
    <row r="657">
      <c r="H657" s="17"/>
    </row>
    <row r="658">
      <c r="H658" s="17"/>
    </row>
    <row r="659">
      <c r="H659" s="17"/>
    </row>
    <row r="660">
      <c r="H660" s="17"/>
    </row>
    <row r="661">
      <c r="H661" s="17"/>
    </row>
    <row r="662">
      <c r="H662" s="17"/>
    </row>
    <row r="663">
      <c r="H663" s="17"/>
    </row>
    <row r="664">
      <c r="H664" s="17"/>
    </row>
    <row r="665">
      <c r="H665" s="17"/>
    </row>
    <row r="666">
      <c r="H666" s="17"/>
    </row>
    <row r="667">
      <c r="H667" s="17"/>
    </row>
    <row r="668">
      <c r="H668" s="17"/>
    </row>
    <row r="669">
      <c r="H669" s="17"/>
    </row>
    <row r="670">
      <c r="H670" s="17"/>
    </row>
    <row r="671">
      <c r="H671" s="17"/>
    </row>
    <row r="672">
      <c r="H672" s="17"/>
    </row>
    <row r="673">
      <c r="H673" s="17"/>
    </row>
    <row r="674">
      <c r="H674" s="17"/>
    </row>
    <row r="675">
      <c r="H675" s="17"/>
    </row>
    <row r="676">
      <c r="H676" s="17"/>
    </row>
    <row r="677">
      <c r="H677" s="17"/>
    </row>
    <row r="678">
      <c r="H678" s="17"/>
    </row>
    <row r="679">
      <c r="H679" s="17"/>
    </row>
    <row r="680">
      <c r="H680" s="17"/>
    </row>
    <row r="681">
      <c r="H681" s="17"/>
    </row>
    <row r="682">
      <c r="H682" s="17"/>
    </row>
    <row r="683">
      <c r="H683" s="17"/>
    </row>
    <row r="684">
      <c r="H684" s="17"/>
    </row>
    <row r="685">
      <c r="H685" s="17"/>
    </row>
    <row r="686">
      <c r="H686" s="17"/>
    </row>
    <row r="687">
      <c r="H687" s="17"/>
    </row>
    <row r="688">
      <c r="H688" s="17"/>
    </row>
    <row r="689">
      <c r="H689" s="17"/>
    </row>
    <row r="690">
      <c r="H690" s="17"/>
    </row>
    <row r="691">
      <c r="H691" s="17"/>
    </row>
    <row r="692">
      <c r="H692" s="17"/>
    </row>
    <row r="693">
      <c r="H693" s="17"/>
    </row>
    <row r="694">
      <c r="H694" s="17"/>
    </row>
    <row r="695">
      <c r="H695" s="17"/>
    </row>
    <row r="696">
      <c r="H696" s="17"/>
    </row>
    <row r="697">
      <c r="H697" s="17"/>
    </row>
    <row r="698">
      <c r="H698" s="17"/>
    </row>
    <row r="699">
      <c r="H699" s="17"/>
    </row>
    <row r="700">
      <c r="H700" s="17"/>
    </row>
    <row r="701">
      <c r="H701" s="17"/>
    </row>
    <row r="702">
      <c r="H702" s="17"/>
    </row>
    <row r="703">
      <c r="H703" s="17"/>
    </row>
    <row r="704">
      <c r="H704" s="17"/>
    </row>
    <row r="705">
      <c r="H705" s="17"/>
    </row>
    <row r="706">
      <c r="H706" s="17"/>
    </row>
    <row r="707">
      <c r="H707" s="17"/>
    </row>
    <row r="708">
      <c r="H708" s="17"/>
    </row>
    <row r="709">
      <c r="H709" s="17"/>
    </row>
    <row r="710">
      <c r="H710" s="17"/>
    </row>
    <row r="711">
      <c r="H711" s="17"/>
    </row>
    <row r="712">
      <c r="H712" s="17"/>
    </row>
    <row r="713">
      <c r="H713" s="17"/>
    </row>
    <row r="714">
      <c r="H714" s="17"/>
    </row>
    <row r="715">
      <c r="H715" s="17"/>
    </row>
    <row r="716">
      <c r="H716" s="17"/>
    </row>
    <row r="717">
      <c r="H717" s="17"/>
    </row>
    <row r="718">
      <c r="H718" s="17"/>
    </row>
    <row r="719">
      <c r="H719" s="17"/>
    </row>
    <row r="720">
      <c r="H720" s="17"/>
    </row>
    <row r="721">
      <c r="H721" s="17"/>
    </row>
    <row r="722">
      <c r="H722" s="17"/>
    </row>
    <row r="723">
      <c r="H723" s="17"/>
    </row>
    <row r="724">
      <c r="H724" s="17"/>
    </row>
    <row r="725">
      <c r="H725" s="17"/>
    </row>
    <row r="726">
      <c r="H726" s="17"/>
    </row>
    <row r="727">
      <c r="H727" s="17"/>
    </row>
    <row r="728">
      <c r="H728" s="17"/>
    </row>
    <row r="729">
      <c r="H729" s="17"/>
    </row>
    <row r="730">
      <c r="H730" s="17"/>
    </row>
    <row r="731">
      <c r="H731" s="17"/>
    </row>
    <row r="732">
      <c r="H732" s="17"/>
    </row>
    <row r="733">
      <c r="H733" s="17"/>
    </row>
    <row r="734">
      <c r="H734" s="17"/>
    </row>
    <row r="735">
      <c r="H735" s="17"/>
    </row>
    <row r="736">
      <c r="H736" s="17"/>
    </row>
    <row r="737">
      <c r="H737" s="17"/>
    </row>
    <row r="738">
      <c r="H738" s="17"/>
    </row>
    <row r="739">
      <c r="H739" s="17"/>
    </row>
    <row r="740">
      <c r="H740" s="17"/>
    </row>
    <row r="741">
      <c r="H741" s="17"/>
    </row>
    <row r="742">
      <c r="H742" s="17"/>
    </row>
    <row r="743">
      <c r="H743" s="17"/>
    </row>
    <row r="744">
      <c r="H744" s="17"/>
    </row>
    <row r="745">
      <c r="H745" s="17"/>
    </row>
    <row r="746">
      <c r="H746" s="17"/>
    </row>
    <row r="747">
      <c r="H747" s="17"/>
    </row>
    <row r="748">
      <c r="H748" s="17"/>
    </row>
    <row r="749">
      <c r="H749" s="17"/>
    </row>
    <row r="750">
      <c r="H750" s="17"/>
    </row>
    <row r="751">
      <c r="H751" s="17"/>
    </row>
    <row r="752">
      <c r="H752" s="17"/>
    </row>
    <row r="753">
      <c r="H753" s="17"/>
    </row>
    <row r="754">
      <c r="H754" s="17"/>
    </row>
    <row r="755">
      <c r="H755" s="17"/>
    </row>
    <row r="756">
      <c r="H756" s="17"/>
    </row>
    <row r="757">
      <c r="H757" s="17"/>
    </row>
    <row r="758">
      <c r="H758" s="17"/>
    </row>
    <row r="759">
      <c r="H759" s="17"/>
    </row>
    <row r="760">
      <c r="H760" s="17"/>
    </row>
    <row r="761">
      <c r="H761" s="17"/>
    </row>
    <row r="762">
      <c r="H762" s="17"/>
    </row>
    <row r="763">
      <c r="H763" s="17"/>
    </row>
    <row r="764">
      <c r="H764" s="17"/>
    </row>
    <row r="765">
      <c r="H765" s="17"/>
    </row>
    <row r="766">
      <c r="H766" s="17"/>
    </row>
    <row r="767">
      <c r="H767" s="17"/>
    </row>
    <row r="768">
      <c r="H768" s="17"/>
    </row>
    <row r="769">
      <c r="H769" s="17"/>
    </row>
    <row r="770">
      <c r="H770" s="17"/>
    </row>
    <row r="771">
      <c r="H771" s="17"/>
    </row>
    <row r="772">
      <c r="H772" s="17"/>
    </row>
    <row r="773">
      <c r="H773" s="17"/>
    </row>
    <row r="774">
      <c r="H774" s="17"/>
    </row>
    <row r="775">
      <c r="H775" s="17"/>
    </row>
    <row r="776">
      <c r="H776" s="17"/>
    </row>
    <row r="777">
      <c r="H777" s="17"/>
    </row>
    <row r="778">
      <c r="H778" s="17"/>
    </row>
    <row r="779">
      <c r="H779" s="17"/>
    </row>
    <row r="780">
      <c r="H780" s="17"/>
    </row>
    <row r="781">
      <c r="H781" s="17"/>
    </row>
    <row r="782">
      <c r="H782" s="17"/>
    </row>
    <row r="783">
      <c r="H783" s="17"/>
    </row>
    <row r="784">
      <c r="H784" s="17"/>
    </row>
    <row r="785">
      <c r="H785" s="17"/>
    </row>
    <row r="786">
      <c r="H786" s="17"/>
    </row>
    <row r="787">
      <c r="H787" s="17"/>
    </row>
    <row r="788">
      <c r="H788" s="17"/>
    </row>
    <row r="789">
      <c r="H789" s="17"/>
    </row>
    <row r="790">
      <c r="H790" s="17"/>
    </row>
    <row r="791">
      <c r="H791" s="17"/>
    </row>
    <row r="792">
      <c r="H792" s="17"/>
    </row>
    <row r="793">
      <c r="H793" s="17"/>
    </row>
    <row r="794">
      <c r="H794" s="17"/>
    </row>
    <row r="795">
      <c r="H795" s="17"/>
    </row>
    <row r="796">
      <c r="H796" s="17"/>
    </row>
    <row r="797">
      <c r="H797" s="17"/>
    </row>
    <row r="798">
      <c r="H798" s="17"/>
    </row>
    <row r="799">
      <c r="H799" s="17"/>
    </row>
    <row r="800">
      <c r="H800" s="17"/>
    </row>
    <row r="801">
      <c r="H801" s="17"/>
    </row>
    <row r="802">
      <c r="H802" s="17"/>
    </row>
    <row r="803">
      <c r="H803" s="17"/>
    </row>
    <row r="804">
      <c r="H804" s="17"/>
    </row>
    <row r="805">
      <c r="H805" s="17"/>
    </row>
    <row r="806">
      <c r="H806" s="17"/>
    </row>
    <row r="807">
      <c r="H807" s="17"/>
    </row>
    <row r="808">
      <c r="H808" s="17"/>
    </row>
    <row r="809">
      <c r="H809" s="17"/>
    </row>
    <row r="810">
      <c r="H810" s="17"/>
    </row>
    <row r="811">
      <c r="H811" s="17"/>
    </row>
    <row r="812">
      <c r="H812" s="17"/>
    </row>
    <row r="813">
      <c r="H813" s="17"/>
    </row>
    <row r="814">
      <c r="H814" s="17"/>
    </row>
    <row r="815">
      <c r="H815" s="17"/>
    </row>
    <row r="816">
      <c r="H816" s="17"/>
    </row>
    <row r="817">
      <c r="H817" s="17"/>
    </row>
    <row r="818">
      <c r="H818" s="17"/>
    </row>
    <row r="819">
      <c r="H819" s="17"/>
    </row>
    <row r="820">
      <c r="H820" s="17"/>
    </row>
    <row r="821">
      <c r="H821" s="17"/>
    </row>
    <row r="822">
      <c r="H822" s="17"/>
    </row>
    <row r="823">
      <c r="H823" s="17"/>
    </row>
    <row r="824">
      <c r="H824" s="17"/>
    </row>
    <row r="825">
      <c r="H825" s="17"/>
    </row>
    <row r="826">
      <c r="H826" s="17"/>
    </row>
    <row r="827">
      <c r="H827" s="17"/>
    </row>
    <row r="828">
      <c r="H828" s="17"/>
    </row>
    <row r="829">
      <c r="H829" s="17"/>
    </row>
    <row r="830">
      <c r="H830" s="17"/>
    </row>
    <row r="831">
      <c r="H831" s="17"/>
    </row>
    <row r="832">
      <c r="H832" s="17"/>
    </row>
    <row r="833">
      <c r="H833" s="17"/>
    </row>
    <row r="834">
      <c r="H834" s="17"/>
    </row>
    <row r="835">
      <c r="H835" s="17"/>
    </row>
    <row r="836">
      <c r="H836" s="17"/>
    </row>
    <row r="837">
      <c r="H837" s="17"/>
    </row>
    <row r="838">
      <c r="H838" s="17"/>
    </row>
    <row r="839">
      <c r="H839" s="17"/>
    </row>
    <row r="840">
      <c r="H840" s="17"/>
    </row>
    <row r="841">
      <c r="H841" s="17"/>
    </row>
    <row r="842">
      <c r="H842" s="17"/>
    </row>
    <row r="843">
      <c r="H843" s="17"/>
    </row>
    <row r="844">
      <c r="H844" s="17"/>
    </row>
    <row r="845">
      <c r="H845" s="17"/>
    </row>
    <row r="846">
      <c r="H846" s="17"/>
    </row>
    <row r="847">
      <c r="H847" s="17"/>
    </row>
    <row r="848">
      <c r="H848" s="17"/>
    </row>
    <row r="849">
      <c r="H849" s="17"/>
    </row>
    <row r="850">
      <c r="H850" s="17"/>
    </row>
    <row r="851">
      <c r="H851" s="17"/>
    </row>
    <row r="852">
      <c r="H852" s="17"/>
    </row>
    <row r="853">
      <c r="H853" s="17"/>
    </row>
    <row r="854">
      <c r="H854" s="17"/>
    </row>
    <row r="855">
      <c r="H855" s="17"/>
    </row>
    <row r="856">
      <c r="H856" s="17"/>
    </row>
    <row r="857">
      <c r="H857" s="17"/>
    </row>
    <row r="858">
      <c r="H858" s="17"/>
    </row>
    <row r="859">
      <c r="H859" s="17"/>
    </row>
    <row r="860">
      <c r="H860" s="17"/>
    </row>
    <row r="861">
      <c r="H861" s="17"/>
    </row>
    <row r="862">
      <c r="H862" s="17"/>
    </row>
    <row r="863">
      <c r="H863" s="17"/>
    </row>
    <row r="864">
      <c r="H864" s="17"/>
    </row>
    <row r="865">
      <c r="H865" s="17"/>
    </row>
    <row r="866">
      <c r="H866" s="17"/>
    </row>
    <row r="867">
      <c r="H867" s="17"/>
    </row>
    <row r="868">
      <c r="H868" s="17"/>
    </row>
    <row r="869">
      <c r="H869" s="17"/>
    </row>
    <row r="870">
      <c r="H870" s="17"/>
    </row>
    <row r="871">
      <c r="H871" s="17"/>
    </row>
    <row r="872">
      <c r="H872" s="17"/>
    </row>
    <row r="873">
      <c r="H873" s="17"/>
    </row>
    <row r="874">
      <c r="H874" s="17"/>
    </row>
    <row r="875">
      <c r="H875" s="17"/>
    </row>
    <row r="876">
      <c r="H876" s="17"/>
    </row>
    <row r="877">
      <c r="H877" s="17"/>
    </row>
    <row r="878">
      <c r="H878" s="17"/>
    </row>
    <row r="879">
      <c r="H879" s="17"/>
    </row>
    <row r="880">
      <c r="H880" s="17"/>
    </row>
    <row r="881">
      <c r="H881" s="17"/>
    </row>
    <row r="882">
      <c r="H882" s="17"/>
    </row>
    <row r="883">
      <c r="H883" s="17"/>
    </row>
    <row r="884">
      <c r="H884" s="17"/>
    </row>
    <row r="885">
      <c r="H885" s="17"/>
    </row>
    <row r="886">
      <c r="H886" s="17"/>
    </row>
    <row r="887">
      <c r="H887" s="17"/>
    </row>
    <row r="888">
      <c r="H888" s="17"/>
    </row>
    <row r="889">
      <c r="H889" s="17"/>
    </row>
    <row r="890">
      <c r="H890" s="17"/>
    </row>
    <row r="891">
      <c r="H891" s="17"/>
    </row>
    <row r="892">
      <c r="H892" s="17"/>
    </row>
    <row r="893">
      <c r="H893" s="17"/>
    </row>
    <row r="894">
      <c r="H894" s="17"/>
    </row>
    <row r="895">
      <c r="H895" s="17"/>
    </row>
    <row r="896">
      <c r="H896" s="17"/>
    </row>
    <row r="897">
      <c r="H897" s="17"/>
    </row>
    <row r="898">
      <c r="H898" s="17"/>
    </row>
    <row r="899">
      <c r="H899" s="17"/>
    </row>
    <row r="900">
      <c r="H900" s="17"/>
    </row>
    <row r="901">
      <c r="H901" s="17"/>
    </row>
    <row r="902">
      <c r="H902" s="17"/>
    </row>
    <row r="903">
      <c r="H903" s="17"/>
    </row>
    <row r="904">
      <c r="H904" s="17"/>
    </row>
    <row r="905">
      <c r="H905" s="17"/>
    </row>
    <row r="906">
      <c r="H906" s="17"/>
    </row>
    <row r="907">
      <c r="H907" s="17"/>
    </row>
    <row r="908">
      <c r="H908" s="17"/>
    </row>
    <row r="909">
      <c r="H909" s="17"/>
    </row>
    <row r="910">
      <c r="H910" s="17"/>
    </row>
    <row r="911">
      <c r="H911" s="17"/>
    </row>
    <row r="912">
      <c r="H912" s="17"/>
    </row>
    <row r="913">
      <c r="H913" s="17"/>
    </row>
    <row r="914">
      <c r="H914" s="17"/>
    </row>
    <row r="915">
      <c r="H915" s="17"/>
    </row>
    <row r="916">
      <c r="H916" s="17"/>
    </row>
    <row r="917">
      <c r="H917" s="17"/>
    </row>
    <row r="918">
      <c r="H918" s="17"/>
    </row>
    <row r="919">
      <c r="H919" s="17"/>
    </row>
    <row r="920">
      <c r="H920" s="17"/>
    </row>
    <row r="921">
      <c r="H921" s="17"/>
    </row>
    <row r="922">
      <c r="H922" s="17"/>
    </row>
    <row r="923">
      <c r="H923" s="17"/>
    </row>
    <row r="924">
      <c r="H924" s="17"/>
    </row>
    <row r="925">
      <c r="H925" s="17"/>
    </row>
    <row r="926">
      <c r="H926" s="17"/>
    </row>
    <row r="927">
      <c r="H927" s="17"/>
    </row>
    <row r="928">
      <c r="H928" s="17"/>
    </row>
    <row r="929">
      <c r="H929" s="17"/>
    </row>
    <row r="930">
      <c r="H930" s="17"/>
    </row>
    <row r="931">
      <c r="H931" s="17"/>
    </row>
    <row r="932">
      <c r="H932" s="17"/>
    </row>
    <row r="933">
      <c r="H933" s="17"/>
    </row>
    <row r="934">
      <c r="H934" s="17"/>
    </row>
    <row r="935">
      <c r="H935" s="17"/>
    </row>
    <row r="936">
      <c r="H936" s="17"/>
    </row>
    <row r="937">
      <c r="H937" s="17"/>
    </row>
    <row r="938">
      <c r="H938" s="17"/>
    </row>
    <row r="939">
      <c r="H939" s="17"/>
    </row>
    <row r="940">
      <c r="H940" s="17"/>
    </row>
    <row r="941">
      <c r="H941" s="17"/>
    </row>
    <row r="942">
      <c r="H942" s="17"/>
    </row>
    <row r="943">
      <c r="H943" s="17"/>
    </row>
    <row r="944">
      <c r="H944" s="17"/>
    </row>
    <row r="945">
      <c r="H945" s="17"/>
    </row>
    <row r="946">
      <c r="H946" s="17"/>
    </row>
    <row r="947">
      <c r="H947" s="17"/>
    </row>
    <row r="948">
      <c r="H948" s="17"/>
    </row>
    <row r="949">
      <c r="H949" s="17"/>
    </row>
    <row r="950">
      <c r="H950" s="17"/>
    </row>
    <row r="951">
      <c r="H951" s="17"/>
    </row>
    <row r="952">
      <c r="H952" s="17"/>
    </row>
    <row r="953">
      <c r="H953" s="17"/>
    </row>
    <row r="954">
      <c r="H954" s="17"/>
    </row>
    <row r="955">
      <c r="H955" s="17"/>
    </row>
    <row r="956">
      <c r="H956" s="17"/>
    </row>
    <row r="957">
      <c r="H957" s="17"/>
    </row>
    <row r="958">
      <c r="H958" s="17"/>
    </row>
    <row r="959">
      <c r="H959" s="17"/>
    </row>
    <row r="960">
      <c r="H960" s="17"/>
    </row>
    <row r="961">
      <c r="H961" s="17"/>
    </row>
    <row r="962">
      <c r="H962" s="17"/>
    </row>
    <row r="963">
      <c r="H963" s="17"/>
    </row>
    <row r="964">
      <c r="H964" s="17"/>
    </row>
    <row r="965">
      <c r="H965" s="17"/>
    </row>
    <row r="966">
      <c r="H966" s="17"/>
    </row>
    <row r="967">
      <c r="H967" s="17"/>
    </row>
    <row r="968">
      <c r="H968" s="17"/>
    </row>
    <row r="969">
      <c r="H969" s="17"/>
    </row>
    <row r="970">
      <c r="H970" s="17"/>
    </row>
    <row r="971">
      <c r="H971" s="17"/>
    </row>
    <row r="972">
      <c r="H972" s="17"/>
    </row>
    <row r="973">
      <c r="H973" s="17"/>
    </row>
    <row r="974">
      <c r="H974" s="17"/>
    </row>
    <row r="975">
      <c r="H975" s="17"/>
    </row>
    <row r="976">
      <c r="H976" s="17"/>
    </row>
    <row r="977">
      <c r="H977" s="17"/>
    </row>
    <row r="978">
      <c r="H978" s="17"/>
    </row>
    <row r="979">
      <c r="H979" s="17"/>
    </row>
    <row r="980">
      <c r="H980" s="17"/>
    </row>
    <row r="981">
      <c r="H981" s="17"/>
    </row>
    <row r="982">
      <c r="H982" s="17"/>
    </row>
    <row r="983">
      <c r="H983" s="17"/>
    </row>
    <row r="984">
      <c r="H984" s="17"/>
    </row>
    <row r="985">
      <c r="H985" s="17"/>
    </row>
    <row r="986">
      <c r="H986" s="17"/>
    </row>
    <row r="987">
      <c r="H987" s="17"/>
    </row>
    <row r="988">
      <c r="H988" s="17"/>
    </row>
    <row r="989">
      <c r="H989" s="17"/>
    </row>
    <row r="990">
      <c r="H990" s="17"/>
    </row>
    <row r="991">
      <c r="H991" s="17"/>
    </row>
    <row r="992">
      <c r="H992" s="17"/>
    </row>
    <row r="993">
      <c r="H993" s="17"/>
    </row>
    <row r="994">
      <c r="H994" s="17"/>
    </row>
    <row r="995">
      <c r="H995" s="17"/>
    </row>
    <row r="996">
      <c r="H996" s="17"/>
    </row>
    <row r="997">
      <c r="H997" s="17"/>
    </row>
    <row r="998">
      <c r="H998" s="17"/>
    </row>
    <row r="999">
      <c r="H999" s="17"/>
    </row>
  </sheetData>
  <drawing r:id="rId4"/>
  <legacyDrawing r:id="rId5"/>
</worksheet>
</file>